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AntonioSanchez\Downloads\encuentro\"/>
    </mc:Choice>
  </mc:AlternateContent>
  <xr:revisionPtr revIDLastSave="0" documentId="13_ncr:1_{D23D779E-C9CE-426B-876C-3C005A2DFE42}" xr6:coauthVersionLast="47" xr6:coauthVersionMax="47" xr10:uidLastSave="{00000000-0000-0000-0000-000000000000}"/>
  <bookViews>
    <workbookView xWindow="-110" yWindow="-110" windowWidth="19420" windowHeight="11500" activeTab="1" xr2:uid="{8D573F1D-E14E-4366-BEEA-E39B590893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E9" i="2"/>
  <c r="E61" i="2"/>
  <c r="E40" i="2"/>
  <c r="E6" i="2"/>
  <c r="E47" i="2"/>
  <c r="E19" i="2"/>
  <c r="E76" i="2"/>
  <c r="E35" i="2"/>
  <c r="E14" i="2"/>
  <c r="E54" i="2"/>
  <c r="E2" i="2"/>
  <c r="E66" i="2"/>
  <c r="E29" i="2"/>
  <c r="E50" i="2"/>
  <c r="E11" i="2"/>
  <c r="E71" i="2"/>
  <c r="E37" i="2"/>
  <c r="E8" i="2"/>
  <c r="E43" i="2"/>
  <c r="E74" i="2"/>
  <c r="E17" i="2"/>
  <c r="E58" i="2"/>
  <c r="E33" i="2"/>
  <c r="E4" i="2"/>
  <c r="E45" i="2"/>
  <c r="E22" i="2"/>
  <c r="E69" i="2"/>
  <c r="E38" i="2"/>
  <c r="E56" i="2"/>
  <c r="E27" i="2"/>
  <c r="E64" i="2"/>
  <c r="E52" i="2"/>
  <c r="E72" i="2"/>
  <c r="E12" i="2"/>
  <c r="E41" i="2"/>
  <c r="E20" i="2"/>
  <c r="E62" i="2"/>
  <c r="E7" i="2"/>
  <c r="E48" i="2"/>
  <c r="E30" i="2"/>
  <c r="E67" i="2"/>
  <c r="E3" i="2"/>
  <c r="E55" i="2"/>
  <c r="E24" i="2"/>
  <c r="E15" i="2"/>
  <c r="E77" i="2"/>
  <c r="E36" i="2"/>
  <c r="E10" i="2"/>
  <c r="E51" i="2"/>
  <c r="E60" i="2"/>
  <c r="E26" i="2"/>
  <c r="E5" i="2"/>
  <c r="E44" i="2"/>
  <c r="E75" i="2"/>
  <c r="E18" i="2"/>
  <c r="E57" i="2"/>
  <c r="E23" i="2"/>
  <c r="E70" i="2"/>
  <c r="E32" i="2"/>
  <c r="E46" i="2"/>
  <c r="E65" i="2"/>
  <c r="E28" i="2"/>
  <c r="E59" i="2"/>
  <c r="E34" i="2"/>
  <c r="E73" i="2"/>
  <c r="E39" i="2"/>
  <c r="E53" i="2"/>
  <c r="E13" i="2"/>
  <c r="E42" i="2"/>
  <c r="E21" i="2"/>
  <c r="E63" i="2"/>
  <c r="E16" i="2"/>
  <c r="E49" i="2"/>
  <c r="E31" i="2"/>
  <c r="E68" i="2"/>
</calcChain>
</file>

<file path=xl/sharedStrings.xml><?xml version="1.0" encoding="utf-8"?>
<sst xmlns="http://schemas.openxmlformats.org/spreadsheetml/2006/main" count="587" uniqueCount="141">
  <si>
    <t>AJHUACHO VILLALOBOS BANIA ANGELA</t>
  </si>
  <si>
    <t>CLEMENTE CHIRARI ALEJANDRA</t>
  </si>
  <si>
    <t>LLANOS RAMOS JHANET</t>
  </si>
  <si>
    <t>MICHAGA PORTUGAL MAGALY</t>
  </si>
  <si>
    <t>PEREZ SERRUDO ELSA</t>
  </si>
  <si>
    <t>ROMERO TELLEZ WILMA</t>
  </si>
  <si>
    <t>AVALOS GONZALES ISIDORA CINDY</t>
  </si>
  <si>
    <t xml:space="preserve">CABAÑA - </t>
  </si>
  <si>
    <t xml:space="preserve">CAMAS </t>
  </si>
  <si>
    <t xml:space="preserve">TV </t>
  </si>
  <si>
    <t>TOTAL CAMAS</t>
  </si>
  <si>
    <t>BAÑOS</t>
  </si>
  <si>
    <t>HABITACIÓN</t>
  </si>
  <si>
    <t>SIMPLES</t>
  </si>
  <si>
    <t xml:space="preserve">LITERAS </t>
  </si>
  <si>
    <t xml:space="preserve">MATRIMONIALES </t>
  </si>
  <si>
    <t>PLANA</t>
  </si>
  <si>
    <t>Participantes</t>
  </si>
  <si>
    <t>N</t>
  </si>
  <si>
    <t>A</t>
  </si>
  <si>
    <t>Regional</t>
  </si>
  <si>
    <t>Chuquisaca</t>
  </si>
  <si>
    <t>CEPEDA COPA MARIA VIRGINIA</t>
  </si>
  <si>
    <t>DAVILA RASGUIDO ROSETH PAMELA</t>
  </si>
  <si>
    <t>LAGUNA GONZALES NANCY NAREL</t>
  </si>
  <si>
    <t>MANCILLA CABEZAS BETTY</t>
  </si>
  <si>
    <t>OPORTO CUEVAS ROSARIO</t>
  </si>
  <si>
    <t>ROJAS CAMACHO NOEMI</t>
  </si>
  <si>
    <t>SAAVEDRA VARGAS CHARO ROSARIO</t>
  </si>
  <si>
    <t>TOLA LOPEZ MARIA ANGELICA</t>
  </si>
  <si>
    <t>TORRICO LUIZAGA LIZBETH ROCIO</t>
  </si>
  <si>
    <t>VILLCA TUMIRI CINTHIA</t>
  </si>
  <si>
    <t>SARMIENTO JIMENA</t>
  </si>
  <si>
    <t>B</t>
  </si>
  <si>
    <t>Cochabamba</t>
  </si>
  <si>
    <t>MUÑOZ VERA MAURICIO FERNANDO</t>
  </si>
  <si>
    <t>QUISBERT BAZAN RONALD JAIR</t>
  </si>
  <si>
    <t>SAMO QUISPE JOSE</t>
  </si>
  <si>
    <t>TERAN PEREZ MARCELO</t>
  </si>
  <si>
    <t>ZAPANA MENDOZA EDGAR ANGEL</t>
  </si>
  <si>
    <t>COPANA ZAPANA JHON DUARD</t>
  </si>
  <si>
    <t>MALDONADO MARTINEZ MAYCOL RANDY</t>
  </si>
  <si>
    <t>Nacional</t>
  </si>
  <si>
    <t>C</t>
  </si>
  <si>
    <t>D</t>
  </si>
  <si>
    <t>GUTIERREZ ALDANA MARCELO</t>
  </si>
  <si>
    <t>JUAN CARLOS HIDALGO</t>
  </si>
  <si>
    <t>CARICARI COCA DAMIAN</t>
  </si>
  <si>
    <t>CHAVARRIA CALLAHUARA EDWIN</t>
  </si>
  <si>
    <t>CHISSI CONDORI ALBERTO</t>
  </si>
  <si>
    <t>Morales Calle Beymar Ivan</t>
  </si>
  <si>
    <t>Flores Lanchipa Alejandro Trifon</t>
  </si>
  <si>
    <t>Ticona Laura Javier</t>
  </si>
  <si>
    <t>Gutierrez Laime Wilder Daniel</t>
  </si>
  <si>
    <t>Chura Choque Jorge Adhemar</t>
  </si>
  <si>
    <t>La Paz</t>
  </si>
  <si>
    <t>1 miguel</t>
  </si>
  <si>
    <t>2 wendy</t>
  </si>
  <si>
    <t>3 javier</t>
  </si>
  <si>
    <t>MARCELO VISCARRA</t>
  </si>
  <si>
    <t>REYNA ZACONETA ANGEL FELIX</t>
  </si>
  <si>
    <t>GUARACHI ESCOBAR SERGIO EMILIO</t>
  </si>
  <si>
    <t>VILLAFUERTE GALLARDO ALEJANDRA KAROL</t>
  </si>
  <si>
    <t xml:space="preserve">COLQUE CALANI GERMAN </t>
  </si>
  <si>
    <t>DELGADO TOVAR CORALY IRIS</t>
  </si>
  <si>
    <t>LAC</t>
  </si>
  <si>
    <t>BUHO</t>
  </si>
  <si>
    <t>QUIROZ VELIZ JOSE LUIS</t>
  </si>
  <si>
    <t>RODOLFO RIOS</t>
  </si>
  <si>
    <t>MAMANI MAMANI FERNANDO</t>
  </si>
  <si>
    <t>RODRIGUEZ YUNCA DAMIAN</t>
  </si>
  <si>
    <t>SANCHEZ MONTECINOS GONZALO JOSE</t>
  </si>
  <si>
    <t>SANCHEZ PILLCO FRANCISCO</t>
  </si>
  <si>
    <t>MARIA TARACHI</t>
  </si>
  <si>
    <t>LIMON REINA MERY</t>
  </si>
  <si>
    <t>LLANOS MENDOZA LITZY JHULINETH</t>
  </si>
  <si>
    <t>VILLANUEVA ALACA ESTHER</t>
  </si>
  <si>
    <t>LIMACHI ALVAREZ PATRICIA OLGA</t>
  </si>
  <si>
    <t>VALDES ROMERO MARIHELA XIMENA ESTHER</t>
  </si>
  <si>
    <t>RODRIGUEZ TRUJILLO JUAN CARLOS</t>
  </si>
  <si>
    <t>SAYGUA SOLIS ALFREDO</t>
  </si>
  <si>
    <t>VICENTE LOPEZ PEDRO</t>
  </si>
  <si>
    <t>COA DIAZ JOSE CLEMENTE</t>
  </si>
  <si>
    <t>HUARACHI TORIHUANO GERMAN</t>
  </si>
  <si>
    <t>POTOSI FLORES ROLANDO</t>
  </si>
  <si>
    <t>MUÑOZ VARGAS JOSE CARLOS</t>
  </si>
  <si>
    <t>QUIÑONES CHACA CARLOS CAMILO</t>
  </si>
  <si>
    <t>TORO CALDERON JOSE DAVID</t>
  </si>
  <si>
    <t>QUISPE APOLINAR</t>
  </si>
  <si>
    <t>SANCHEZ CHOQUE MARCO ANTONIO</t>
  </si>
  <si>
    <t>TANGO MENDOZA JOSE LUIS</t>
  </si>
  <si>
    <t>LOPEZ  MAMANI VICTOR HUGO</t>
  </si>
  <si>
    <t>SERRANO MACEDONIO ISMAEL DEREK</t>
  </si>
  <si>
    <t>TORREZ FLORES ARMANDO</t>
  </si>
  <si>
    <t>DIAZ ESPINOZA ALEJANDRO</t>
  </si>
  <si>
    <t>HERRERA MARTINEZ FRANKLIN OMAR</t>
  </si>
  <si>
    <t>CRUZ FLORES EBER RODOLFO</t>
  </si>
  <si>
    <t>LOPEZ ESTRADA EDGAR</t>
  </si>
  <si>
    <t>TORRICOS PEÑARANDA FAVIOLA PAMELA</t>
  </si>
  <si>
    <t>ARANIBAR URUÑA VICTORIA</t>
  </si>
  <si>
    <t>MARISOL FLORES</t>
  </si>
  <si>
    <t>TOLA CHOQUE RENE</t>
  </si>
  <si>
    <t>TUMIRI MENDOZA ADRIAN</t>
  </si>
  <si>
    <t>DAVID BUHEZO</t>
  </si>
  <si>
    <t>MAMANI CHOQUE SEVERINO</t>
  </si>
  <si>
    <t>MARCA RAMIREZ IVER</t>
  </si>
  <si>
    <t>PILLCO SANCHEZ ANCELMO</t>
  </si>
  <si>
    <t>COLQUE ESPINOZA EDUARDO</t>
  </si>
  <si>
    <t>GERONIMO PILLCO JHONNY</t>
  </si>
  <si>
    <t>Torrez Martela Marysabel</t>
  </si>
  <si>
    <t>Roman Gutierrez Marisol Ruby</t>
  </si>
  <si>
    <t>Duran Tito Ylsen</t>
  </si>
  <si>
    <t>Flores Limachi Helen Cristina</t>
  </si>
  <si>
    <t>Condori Aruquipa Maria Elena</t>
  </si>
  <si>
    <t>Baldivieso Mamani Claudia</t>
  </si>
  <si>
    <t>Tantani Condori Celia</t>
  </si>
  <si>
    <t>Carita Tarqui Rosario</t>
  </si>
  <si>
    <t>APAZA ACHACOLLO DAVID</t>
  </si>
  <si>
    <t>BACARREZA ROLANDO</t>
  </si>
  <si>
    <t>LUIS LIZANDRO COCA VASQUEZ</t>
  </si>
  <si>
    <t>NAVIA MEJIA DENIS</t>
  </si>
  <si>
    <t>PACO SILVA JOSUE WILFREDO</t>
  </si>
  <si>
    <t>TALLACAGUA PALOMINO MARIA ALICIA</t>
  </si>
  <si>
    <t>TORRICO PALACIOS ROSA</t>
  </si>
  <si>
    <t>HUAYHUA HUAYHUA CINTIA KAREM</t>
  </si>
  <si>
    <t>LARA FIGUEROA CLAUDIA ROMINA</t>
  </si>
  <si>
    <t>GONZALES CACERES CLAUDIA</t>
  </si>
  <si>
    <t>CLAVEL SALAS SILVIA PRISCILA</t>
  </si>
  <si>
    <t>MENECES MARIA JULIA</t>
  </si>
  <si>
    <t>CHIRI MARILU</t>
  </si>
  <si>
    <t>VARGAS BUTRON FABIOLA GINA</t>
  </si>
  <si>
    <t>VARGAS VILCHES PAOLA SILVANA</t>
  </si>
  <si>
    <t>BURGOA VARGAS FERNANDA</t>
  </si>
  <si>
    <t>CARRETERO VALDEZ ERICK MIGUEL</t>
  </si>
  <si>
    <t>ROCA CALDERON VICTOR HUGO</t>
  </si>
  <si>
    <t>GUALBERTO RODRIGUEZ</t>
  </si>
  <si>
    <t>Habitacion</t>
  </si>
  <si>
    <t>Column1</t>
  </si>
  <si>
    <t>Habitación</t>
  </si>
  <si>
    <t>Cabaña</t>
  </si>
  <si>
    <t>Reg Chuquisaca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</si>
</sst>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entury Gothic"/>
      <family val="2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8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7" borderId="10" xfId="0" applyFont="1" applyFill="1" applyBorder="1"/>
    <xf numFmtId="0" fontId="0" fillId="7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4" fillId="8" borderId="10" xfId="0" applyFont="1" applyFill="1" applyBorder="1"/>
    <xf numFmtId="0" fontId="4" fillId="8" borderId="11" xfId="0" applyFont="1" applyFill="1" applyBorder="1"/>
    <xf numFmtId="0" fontId="4" fillId="8" borderId="12" xfId="0" applyFont="1" applyFill="1" applyBorder="1"/>
    <xf numFmtId="0" fontId="0" fillId="0" borderId="13" xfId="0" applyFont="1" applyBorder="1"/>
    <xf numFmtId="0" fontId="0" fillId="0" borderId="11" xfId="0" applyFont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7" borderId="13" xfId="0" applyFont="1" applyFill="1" applyBorder="1"/>
    <xf numFmtId="0" fontId="0" fillId="9" borderId="11" xfId="0" applyFont="1" applyFill="1" applyBorder="1"/>
    <xf numFmtId="0" fontId="0" fillId="10" borderId="11" xfId="0" applyFont="1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5FCE7-20B7-458C-95A9-6189480D7DF2}" name="Table1" displayName="Table1" ref="A2:L112" totalsRowShown="0">
  <autoFilter ref="A2:L112" xr:uid="{4855FCE7-20B7-458C-95A9-6189480D7DF2}">
    <filterColumn colId="2">
      <filters>
        <filter val="Chuquisaca"/>
      </filters>
    </filterColumn>
  </autoFilter>
  <tableColumns count="12">
    <tableColumn id="1" xr3:uid="{2411204E-2C25-4E7E-9285-1100E3922DF2}" name="N"/>
    <tableColumn id="2" xr3:uid="{F41D0963-A223-4565-89E6-C74335AC7061}" name="Participantes"/>
    <tableColumn id="3" xr3:uid="{110A7A98-ABC3-4C4A-AC23-881AF6B5EFB7}" name="Regional"/>
    <tableColumn id="12" xr3:uid="{7DAD0980-BD8C-4AE7-9BE8-20BD8748DFD3}" name="Column1"/>
    <tableColumn id="4" xr3:uid="{82DE669D-755D-4913-BC98-7518F85C9048}" name="Habitacion"/>
    <tableColumn id="5" xr3:uid="{9CD10F61-EAB6-40CB-9670-53643BA5CFF5}" name="HABITACIÓN"/>
    <tableColumn id="6" xr3:uid="{F9E5C5F9-F727-41E0-A094-F372F00A2E89}" name="SIMPLES"/>
    <tableColumn id="7" xr3:uid="{CF8DF0DC-48A7-4906-B853-331748CE8098}" name="LITERAS "/>
    <tableColumn id="8" xr3:uid="{430ED22D-9CB4-4167-951D-3F522F86A7CB}" name="MATRIMONIALES "/>
    <tableColumn id="9" xr3:uid="{B0925978-E7DA-4D7F-8CBE-36913FCEC5C6}" name="PLANA"/>
    <tableColumn id="10" xr3:uid="{C6E672BE-8076-47E2-B77C-AE326EC77D82}" name="TOTAL CAMAS"/>
    <tableColumn id="11" xr3:uid="{594A2C3D-71C8-411F-AF0D-0AADE3519521}" name="BAÑ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2655E-B625-4667-BC5C-4381BF5DC667}" name="Table2" displayName="Table2" ref="A1:E77" totalsRowShown="0" headerRowDxfId="1" dataDxfId="0" headerRowBorderDxfId="8" tableBorderDxfId="9" totalsRowBorderDxfId="7">
  <autoFilter ref="A1:E77" xr:uid="{D0E2655E-B625-4667-BC5C-4381BF5DC667}"/>
  <sortState xmlns:xlrd2="http://schemas.microsoft.com/office/spreadsheetml/2017/richdata2" ref="A2:E77">
    <sortCondition ref="D1:D77"/>
  </sortState>
  <tableColumns count="5">
    <tableColumn id="1" xr3:uid="{69722AA1-A657-4F04-8D20-391D5266E5BD}" name="N" dataDxfId="6"/>
    <tableColumn id="2" xr3:uid="{494E7A78-2458-4FB0-A5A2-2E0737122AD9}" name="Participantes" dataDxfId="5"/>
    <tableColumn id="3" xr3:uid="{307CDD44-65FD-426E-AA70-C6C7C1ACF782}" name="Regional" dataDxfId="4"/>
    <tableColumn id="5" xr3:uid="{22808886-0F33-457E-B00E-B2B2DB791F64}" name="Reg Chuquisaca" dataDxfId="3"/>
    <tableColumn id="6" xr3:uid="{D044E704-CDD4-4735-A3A5-F125A888F949}" name="Column1" dataDxfId="2">
      <calculatedColumnFormula>VLOOKUP(Table2[[#This Row],[Reg Chuquisaca]],$H$1:$I$35,2,0)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D509-3A0D-45EA-AFF2-FBF7E1F7C067}">
  <dimension ref="A1:L112"/>
  <sheetViews>
    <sheetView topLeftCell="A50" workbookViewId="0">
      <selection activeCell="A2" sqref="A2:B112"/>
    </sheetView>
  </sheetViews>
  <sheetFormatPr defaultRowHeight="13.5" x14ac:dyDescent="0.25"/>
  <cols>
    <col min="2" max="2" width="37.75" bestFit="1" customWidth="1"/>
    <col min="3" max="4" width="10.9140625" customWidth="1"/>
    <col min="5" max="5" width="12.4140625" customWidth="1"/>
    <col min="6" max="6" width="11.9140625" customWidth="1"/>
    <col min="7" max="7" width="8.75" customWidth="1"/>
    <col min="8" max="8" width="8.83203125" customWidth="1"/>
    <col min="9" max="9" width="15.75" customWidth="1"/>
    <col min="11" max="11" width="13.08203125" customWidth="1"/>
  </cols>
  <sheetData>
    <row r="1" spans="1:12" ht="14.5" customHeight="1" thickBot="1" x14ac:dyDescent="0.3">
      <c r="F1" s="1" t="s">
        <v>7</v>
      </c>
      <c r="G1" s="29" t="s">
        <v>8</v>
      </c>
      <c r="H1" s="30"/>
      <c r="I1" s="31"/>
      <c r="J1" s="2" t="s">
        <v>9</v>
      </c>
    </row>
    <row r="2" spans="1:12" ht="14.5" thickBot="1" x14ac:dyDescent="0.3">
      <c r="A2" t="s">
        <v>18</v>
      </c>
      <c r="B2" t="s">
        <v>17</v>
      </c>
      <c r="C2" t="s">
        <v>20</v>
      </c>
      <c r="D2" t="s">
        <v>137</v>
      </c>
      <c r="E2" t="s">
        <v>136</v>
      </c>
      <c r="F2" s="3" t="s">
        <v>12</v>
      </c>
      <c r="G2" s="4" t="s">
        <v>13</v>
      </c>
      <c r="H2" s="4" t="s">
        <v>14</v>
      </c>
      <c r="I2" s="4" t="s">
        <v>15</v>
      </c>
      <c r="J2" s="5" t="s">
        <v>16</v>
      </c>
      <c r="K2" s="27" t="s">
        <v>10</v>
      </c>
      <c r="L2" s="28" t="s">
        <v>11</v>
      </c>
    </row>
    <row r="3" spans="1:12" ht="14.5" thickBot="1" x14ac:dyDescent="0.3">
      <c r="A3">
        <v>1</v>
      </c>
      <c r="B3" t="s">
        <v>0</v>
      </c>
      <c r="C3" t="s">
        <v>21</v>
      </c>
      <c r="D3" t="s">
        <v>139</v>
      </c>
      <c r="E3" t="s">
        <v>19</v>
      </c>
      <c r="F3" s="6" t="s">
        <v>19</v>
      </c>
      <c r="G3" s="7">
        <v>2</v>
      </c>
      <c r="H3" s="7">
        <v>2</v>
      </c>
      <c r="I3" s="7">
        <v>1</v>
      </c>
      <c r="J3" s="7">
        <v>1</v>
      </c>
      <c r="K3" s="7">
        <v>7</v>
      </c>
      <c r="L3" s="8">
        <v>1</v>
      </c>
    </row>
    <row r="4" spans="1:12" x14ac:dyDescent="0.25">
      <c r="A4">
        <v>2</v>
      </c>
      <c r="B4" t="s">
        <v>1</v>
      </c>
      <c r="C4" t="s">
        <v>21</v>
      </c>
      <c r="D4" t="s">
        <v>139</v>
      </c>
      <c r="E4" t="s">
        <v>19</v>
      </c>
    </row>
    <row r="5" spans="1:12" x14ac:dyDescent="0.25">
      <c r="A5">
        <v>3</v>
      </c>
      <c r="B5" t="s">
        <v>2</v>
      </c>
      <c r="C5" t="s">
        <v>21</v>
      </c>
      <c r="D5" t="s">
        <v>139</v>
      </c>
      <c r="E5" t="s">
        <v>19</v>
      </c>
    </row>
    <row r="6" spans="1:12" x14ac:dyDescent="0.25">
      <c r="A6">
        <v>4</v>
      </c>
      <c r="B6" t="s">
        <v>3</v>
      </c>
      <c r="C6" t="s">
        <v>21</v>
      </c>
      <c r="D6" t="s">
        <v>139</v>
      </c>
      <c r="E6" t="s">
        <v>19</v>
      </c>
    </row>
    <row r="7" spans="1:12" x14ac:dyDescent="0.25">
      <c r="A7">
        <v>5</v>
      </c>
      <c r="B7" t="s">
        <v>4</v>
      </c>
      <c r="C7" t="s">
        <v>21</v>
      </c>
      <c r="D7" t="s">
        <v>139</v>
      </c>
      <c r="E7" t="s">
        <v>19</v>
      </c>
    </row>
    <row r="8" spans="1:12" x14ac:dyDescent="0.25">
      <c r="A8">
        <v>6</v>
      </c>
      <c r="B8" t="s">
        <v>5</v>
      </c>
      <c r="C8" t="s">
        <v>21</v>
      </c>
      <c r="D8" t="s">
        <v>139</v>
      </c>
      <c r="E8" t="s">
        <v>19</v>
      </c>
    </row>
    <row r="9" spans="1:12" x14ac:dyDescent="0.25">
      <c r="A9">
        <v>7</v>
      </c>
      <c r="B9" t="s">
        <v>6</v>
      </c>
      <c r="C9" t="s">
        <v>21</v>
      </c>
      <c r="D9" t="s">
        <v>139</v>
      </c>
      <c r="E9" t="s">
        <v>19</v>
      </c>
    </row>
    <row r="10" spans="1:12" ht="15" hidden="1" thickBot="1" x14ac:dyDescent="0.3">
      <c r="A10">
        <v>8</v>
      </c>
      <c r="B10" t="s">
        <v>22</v>
      </c>
      <c r="C10" t="s">
        <v>34</v>
      </c>
      <c r="D10" t="s">
        <v>139</v>
      </c>
      <c r="E10" t="s">
        <v>33</v>
      </c>
      <c r="F10" s="6" t="s">
        <v>33</v>
      </c>
      <c r="G10" s="9"/>
      <c r="H10" s="7">
        <v>6</v>
      </c>
      <c r="I10" s="7">
        <v>0</v>
      </c>
      <c r="J10" s="7">
        <v>1</v>
      </c>
      <c r="K10" s="7">
        <v>12</v>
      </c>
      <c r="L10" s="8">
        <v>2</v>
      </c>
    </row>
    <row r="11" spans="1:12" hidden="1" x14ac:dyDescent="0.25">
      <c r="A11">
        <v>9</v>
      </c>
      <c r="B11" t="s">
        <v>23</v>
      </c>
      <c r="C11" t="s">
        <v>34</v>
      </c>
      <c r="D11" t="s">
        <v>139</v>
      </c>
      <c r="E11" t="s">
        <v>33</v>
      </c>
    </row>
    <row r="12" spans="1:12" hidden="1" x14ac:dyDescent="0.25">
      <c r="A12">
        <v>10</v>
      </c>
      <c r="B12" t="s">
        <v>24</v>
      </c>
      <c r="C12" t="s">
        <v>34</v>
      </c>
      <c r="D12" t="s">
        <v>139</v>
      </c>
      <c r="E12" t="s">
        <v>33</v>
      </c>
    </row>
    <row r="13" spans="1:12" hidden="1" x14ac:dyDescent="0.25">
      <c r="A13">
        <v>11</v>
      </c>
      <c r="B13" t="s">
        <v>25</v>
      </c>
      <c r="C13" t="s">
        <v>34</v>
      </c>
      <c r="D13" t="s">
        <v>139</v>
      </c>
      <c r="E13" t="s">
        <v>33</v>
      </c>
    </row>
    <row r="14" spans="1:12" hidden="1" x14ac:dyDescent="0.25">
      <c r="A14">
        <v>12</v>
      </c>
      <c r="B14" t="s">
        <v>26</v>
      </c>
      <c r="C14" t="s">
        <v>34</v>
      </c>
      <c r="D14" t="s">
        <v>139</v>
      </c>
      <c r="E14" t="s">
        <v>33</v>
      </c>
    </row>
    <row r="15" spans="1:12" hidden="1" x14ac:dyDescent="0.25">
      <c r="A15">
        <v>13</v>
      </c>
      <c r="B15" t="s">
        <v>27</v>
      </c>
      <c r="C15" t="s">
        <v>34</v>
      </c>
      <c r="D15" t="s">
        <v>139</v>
      </c>
      <c r="E15" t="s">
        <v>33</v>
      </c>
    </row>
    <row r="16" spans="1:12" hidden="1" x14ac:dyDescent="0.25">
      <c r="A16">
        <v>14</v>
      </c>
      <c r="B16" t="s">
        <v>28</v>
      </c>
      <c r="C16" t="s">
        <v>34</v>
      </c>
      <c r="D16" t="s">
        <v>139</v>
      </c>
      <c r="E16" t="s">
        <v>33</v>
      </c>
    </row>
    <row r="17" spans="1:12" hidden="1" x14ac:dyDescent="0.25">
      <c r="A17">
        <v>15</v>
      </c>
      <c r="B17" t="s">
        <v>29</v>
      </c>
      <c r="C17" t="s">
        <v>34</v>
      </c>
      <c r="D17" t="s">
        <v>139</v>
      </c>
      <c r="E17" t="s">
        <v>33</v>
      </c>
    </row>
    <row r="18" spans="1:12" hidden="1" x14ac:dyDescent="0.25">
      <c r="A18">
        <v>16</v>
      </c>
      <c r="B18" t="s">
        <v>30</v>
      </c>
      <c r="C18" t="s">
        <v>34</v>
      </c>
      <c r="D18" t="s">
        <v>139</v>
      </c>
      <c r="E18" t="s">
        <v>33</v>
      </c>
    </row>
    <row r="19" spans="1:12" hidden="1" x14ac:dyDescent="0.25">
      <c r="A19">
        <v>17</v>
      </c>
      <c r="B19" t="s">
        <v>31</v>
      </c>
      <c r="C19" t="s">
        <v>34</v>
      </c>
      <c r="D19" t="s">
        <v>139</v>
      </c>
      <c r="E19" t="s">
        <v>33</v>
      </c>
    </row>
    <row r="20" spans="1:12" hidden="1" x14ac:dyDescent="0.25">
      <c r="A20">
        <v>18</v>
      </c>
      <c r="B20" t="s">
        <v>32</v>
      </c>
      <c r="C20" t="s">
        <v>34</v>
      </c>
      <c r="D20" t="s">
        <v>139</v>
      </c>
      <c r="E20" t="s">
        <v>33</v>
      </c>
    </row>
    <row r="21" spans="1:12" ht="15" hidden="1" thickBot="1" x14ac:dyDescent="0.3">
      <c r="A21">
        <v>19</v>
      </c>
      <c r="B21" t="s">
        <v>35</v>
      </c>
      <c r="C21" t="s">
        <v>42</v>
      </c>
      <c r="D21" t="s">
        <v>139</v>
      </c>
      <c r="E21" t="s">
        <v>43</v>
      </c>
      <c r="F21" s="6" t="s">
        <v>43</v>
      </c>
      <c r="G21" s="9"/>
      <c r="H21" s="7">
        <v>7</v>
      </c>
      <c r="I21" s="7">
        <v>1</v>
      </c>
      <c r="J21" s="7">
        <v>1</v>
      </c>
      <c r="K21" s="7">
        <v>15</v>
      </c>
      <c r="L21" s="8">
        <v>2</v>
      </c>
    </row>
    <row r="22" spans="1:12" hidden="1" x14ac:dyDescent="0.25">
      <c r="A22">
        <v>20</v>
      </c>
      <c r="B22" t="s">
        <v>36</v>
      </c>
      <c r="C22" t="s">
        <v>42</v>
      </c>
      <c r="D22" t="s">
        <v>139</v>
      </c>
      <c r="E22" t="s">
        <v>43</v>
      </c>
    </row>
    <row r="23" spans="1:12" hidden="1" x14ac:dyDescent="0.25">
      <c r="A23">
        <v>21</v>
      </c>
      <c r="B23" t="s">
        <v>37</v>
      </c>
      <c r="C23" t="s">
        <v>42</v>
      </c>
      <c r="D23" t="s">
        <v>139</v>
      </c>
      <c r="E23" t="s">
        <v>43</v>
      </c>
    </row>
    <row r="24" spans="1:12" hidden="1" x14ac:dyDescent="0.25">
      <c r="A24">
        <v>22</v>
      </c>
      <c r="B24" t="s">
        <v>38</v>
      </c>
      <c r="C24" t="s">
        <v>42</v>
      </c>
      <c r="D24" t="s">
        <v>139</v>
      </c>
      <c r="E24" t="s">
        <v>43</v>
      </c>
    </row>
    <row r="25" spans="1:12" hidden="1" x14ac:dyDescent="0.25">
      <c r="A25">
        <v>23</v>
      </c>
      <c r="B25" t="s">
        <v>39</v>
      </c>
      <c r="C25" t="s">
        <v>42</v>
      </c>
      <c r="D25" t="s">
        <v>139</v>
      </c>
      <c r="E25" t="s">
        <v>43</v>
      </c>
    </row>
    <row r="26" spans="1:12" hidden="1" x14ac:dyDescent="0.25">
      <c r="A26">
        <v>24</v>
      </c>
      <c r="B26" t="s">
        <v>40</v>
      </c>
      <c r="C26" t="s">
        <v>42</v>
      </c>
      <c r="D26" t="s">
        <v>139</v>
      </c>
      <c r="E26" t="s">
        <v>43</v>
      </c>
    </row>
    <row r="27" spans="1:12" hidden="1" x14ac:dyDescent="0.25">
      <c r="A27">
        <v>25</v>
      </c>
      <c r="B27" t="s">
        <v>41</v>
      </c>
      <c r="C27" t="s">
        <v>42</v>
      </c>
      <c r="D27" t="s">
        <v>139</v>
      </c>
      <c r="E27" t="s">
        <v>43</v>
      </c>
    </row>
    <row r="28" spans="1:12" hidden="1" x14ac:dyDescent="0.25">
      <c r="A28">
        <v>26</v>
      </c>
      <c r="B28" t="s">
        <v>45</v>
      </c>
      <c r="C28" t="s">
        <v>34</v>
      </c>
      <c r="D28" t="s">
        <v>139</v>
      </c>
      <c r="E28" t="s">
        <v>44</v>
      </c>
      <c r="F28" t="s">
        <v>44</v>
      </c>
      <c r="H28">
        <v>6</v>
      </c>
      <c r="K28">
        <v>12</v>
      </c>
      <c r="L28">
        <v>1</v>
      </c>
    </row>
    <row r="29" spans="1:12" hidden="1" x14ac:dyDescent="0.25">
      <c r="A29">
        <v>27</v>
      </c>
      <c r="B29" t="s">
        <v>46</v>
      </c>
      <c r="C29" t="s">
        <v>34</v>
      </c>
      <c r="D29" t="s">
        <v>139</v>
      </c>
      <c r="E29" t="s">
        <v>44</v>
      </c>
    </row>
    <row r="30" spans="1:12" hidden="1" x14ac:dyDescent="0.25">
      <c r="A30">
        <v>28</v>
      </c>
      <c r="B30" t="s">
        <v>47</v>
      </c>
      <c r="C30" t="s">
        <v>34</v>
      </c>
      <c r="D30" t="s">
        <v>139</v>
      </c>
      <c r="E30" t="s">
        <v>44</v>
      </c>
    </row>
    <row r="31" spans="1:12" hidden="1" x14ac:dyDescent="0.25">
      <c r="A31">
        <v>29</v>
      </c>
      <c r="B31" t="s">
        <v>48</v>
      </c>
      <c r="C31" t="s">
        <v>34</v>
      </c>
      <c r="D31" t="s">
        <v>139</v>
      </c>
      <c r="E31" t="s">
        <v>44</v>
      </c>
    </row>
    <row r="32" spans="1:12" hidden="1" x14ac:dyDescent="0.25">
      <c r="A32">
        <v>30</v>
      </c>
      <c r="B32" t="s">
        <v>49</v>
      </c>
      <c r="C32" t="s">
        <v>34</v>
      </c>
      <c r="D32" t="s">
        <v>139</v>
      </c>
      <c r="E32" t="s">
        <v>44</v>
      </c>
    </row>
    <row r="33" spans="1:12" hidden="1" x14ac:dyDescent="0.25">
      <c r="A33">
        <v>31</v>
      </c>
      <c r="B33" t="s">
        <v>50</v>
      </c>
      <c r="C33" t="s">
        <v>55</v>
      </c>
      <c r="D33" t="s">
        <v>139</v>
      </c>
      <c r="E33" t="s">
        <v>44</v>
      </c>
    </row>
    <row r="34" spans="1:12" hidden="1" x14ac:dyDescent="0.25">
      <c r="A34">
        <v>32</v>
      </c>
      <c r="B34" t="s">
        <v>51</v>
      </c>
      <c r="C34" t="s">
        <v>55</v>
      </c>
      <c r="D34" t="s">
        <v>139</v>
      </c>
      <c r="E34" t="s">
        <v>44</v>
      </c>
    </row>
    <row r="35" spans="1:12" hidden="1" x14ac:dyDescent="0.25">
      <c r="A35">
        <v>33</v>
      </c>
      <c r="B35" t="s">
        <v>52</v>
      </c>
      <c r="C35" t="s">
        <v>55</v>
      </c>
      <c r="D35" t="s">
        <v>139</v>
      </c>
      <c r="E35" t="s">
        <v>44</v>
      </c>
    </row>
    <row r="36" spans="1:12" hidden="1" x14ac:dyDescent="0.25">
      <c r="A36">
        <v>34</v>
      </c>
      <c r="B36" t="s">
        <v>53</v>
      </c>
      <c r="C36" t="s">
        <v>55</v>
      </c>
      <c r="D36" t="s">
        <v>139</v>
      </c>
      <c r="E36" t="s">
        <v>44</v>
      </c>
    </row>
    <row r="37" spans="1:12" hidden="1" x14ac:dyDescent="0.25">
      <c r="A37">
        <v>35</v>
      </c>
      <c r="B37" t="s">
        <v>54</v>
      </c>
      <c r="C37" t="s">
        <v>55</v>
      </c>
      <c r="D37" t="s">
        <v>139</v>
      </c>
      <c r="E37" t="s">
        <v>44</v>
      </c>
    </row>
    <row r="38" spans="1:12" ht="15" hidden="1" thickBot="1" x14ac:dyDescent="0.3">
      <c r="A38">
        <v>36</v>
      </c>
      <c r="B38" t="s">
        <v>59</v>
      </c>
      <c r="C38" t="s">
        <v>65</v>
      </c>
      <c r="D38" t="s">
        <v>138</v>
      </c>
      <c r="E38">
        <v>1</v>
      </c>
      <c r="F38" s="11" t="s">
        <v>56</v>
      </c>
      <c r="G38" s="12"/>
      <c r="H38" s="12"/>
      <c r="I38" s="13">
        <v>1</v>
      </c>
      <c r="J38" s="13">
        <v>1</v>
      </c>
      <c r="K38" s="13">
        <v>1</v>
      </c>
      <c r="L38" s="14"/>
    </row>
    <row r="39" spans="1:12" ht="15" hidden="1" thickBot="1" x14ac:dyDescent="0.3">
      <c r="A39">
        <v>37</v>
      </c>
      <c r="B39" t="s">
        <v>60</v>
      </c>
      <c r="C39" t="s">
        <v>34</v>
      </c>
      <c r="D39" t="s">
        <v>138</v>
      </c>
      <c r="E39">
        <v>2</v>
      </c>
      <c r="F39" s="11" t="s">
        <v>57</v>
      </c>
      <c r="G39" s="13">
        <v>1</v>
      </c>
      <c r="H39" s="12"/>
      <c r="I39" s="13">
        <v>1</v>
      </c>
      <c r="J39" s="13">
        <v>1</v>
      </c>
      <c r="K39" s="13">
        <v>2</v>
      </c>
      <c r="L39" s="15">
        <v>1</v>
      </c>
    </row>
    <row r="40" spans="1:12" ht="15" hidden="1" thickBot="1" x14ac:dyDescent="0.3">
      <c r="A40">
        <v>38</v>
      </c>
      <c r="B40" t="s">
        <v>61</v>
      </c>
      <c r="C40" t="s">
        <v>34</v>
      </c>
      <c r="D40" t="s">
        <v>138</v>
      </c>
      <c r="E40">
        <v>2</v>
      </c>
      <c r="F40" s="11"/>
      <c r="G40" s="13"/>
      <c r="H40" s="12"/>
      <c r="I40" s="13"/>
      <c r="J40" s="13"/>
      <c r="K40" s="13"/>
      <c r="L40" s="15"/>
    </row>
    <row r="41" spans="1:12" ht="15" hidden="1" thickBot="1" x14ac:dyDescent="0.3">
      <c r="A41">
        <v>39</v>
      </c>
      <c r="B41" t="s">
        <v>62</v>
      </c>
      <c r="C41" t="s">
        <v>42</v>
      </c>
      <c r="D41" t="s">
        <v>138</v>
      </c>
      <c r="E41">
        <v>3</v>
      </c>
      <c r="F41" s="11" t="s">
        <v>58</v>
      </c>
      <c r="G41" s="12"/>
      <c r="H41" s="12"/>
      <c r="I41" s="13">
        <v>1</v>
      </c>
      <c r="J41" s="13">
        <v>1</v>
      </c>
      <c r="K41" s="13">
        <v>1</v>
      </c>
      <c r="L41" s="15">
        <v>1</v>
      </c>
    </row>
    <row r="42" spans="1:12" ht="15" thickBot="1" x14ac:dyDescent="0.3">
      <c r="A42">
        <v>40</v>
      </c>
      <c r="B42" t="s">
        <v>63</v>
      </c>
      <c r="C42" t="s">
        <v>21</v>
      </c>
      <c r="D42" t="s">
        <v>138</v>
      </c>
      <c r="E42">
        <v>4</v>
      </c>
      <c r="F42" s="11">
        <v>4</v>
      </c>
      <c r="G42" s="13">
        <v>1</v>
      </c>
      <c r="H42" s="12"/>
      <c r="I42" s="13">
        <v>1</v>
      </c>
      <c r="J42" s="13">
        <v>1</v>
      </c>
      <c r="K42" s="13">
        <v>2</v>
      </c>
      <c r="L42" s="15">
        <v>1</v>
      </c>
    </row>
    <row r="43" spans="1:12" ht="15" hidden="1" thickBot="1" x14ac:dyDescent="0.3">
      <c r="A43">
        <v>41</v>
      </c>
      <c r="B43" t="s">
        <v>64</v>
      </c>
      <c r="C43" t="s">
        <v>42</v>
      </c>
      <c r="D43" t="s">
        <v>138</v>
      </c>
      <c r="E43">
        <v>5</v>
      </c>
      <c r="F43" s="11">
        <v>5</v>
      </c>
      <c r="G43" s="12"/>
      <c r="H43" s="13">
        <v>1</v>
      </c>
      <c r="I43" s="13">
        <v>1</v>
      </c>
      <c r="J43" s="13">
        <v>1</v>
      </c>
      <c r="K43" s="13">
        <v>3</v>
      </c>
      <c r="L43" s="15">
        <v>1</v>
      </c>
    </row>
    <row r="44" spans="1:12" ht="15" hidden="1" thickBot="1" x14ac:dyDescent="0.3">
      <c r="A44">
        <v>42</v>
      </c>
      <c r="B44" t="s">
        <v>67</v>
      </c>
      <c r="C44" t="s">
        <v>34</v>
      </c>
      <c r="D44" t="s">
        <v>139</v>
      </c>
      <c r="E44" t="s">
        <v>66</v>
      </c>
      <c r="F44" s="10" t="s">
        <v>66</v>
      </c>
      <c r="G44" s="16">
        <v>3</v>
      </c>
      <c r="H44" s="16">
        <v>3</v>
      </c>
      <c r="I44" s="17"/>
      <c r="J44" s="17"/>
      <c r="K44" s="16">
        <v>9</v>
      </c>
      <c r="L44" s="18">
        <v>0</v>
      </c>
    </row>
    <row r="45" spans="1:12" hidden="1" x14ac:dyDescent="0.25">
      <c r="A45">
        <v>43</v>
      </c>
      <c r="B45" t="s">
        <v>68</v>
      </c>
      <c r="C45" t="s">
        <v>34</v>
      </c>
      <c r="D45" t="s">
        <v>139</v>
      </c>
      <c r="E45" t="s">
        <v>66</v>
      </c>
    </row>
    <row r="46" spans="1:12" hidden="1" x14ac:dyDescent="0.25">
      <c r="A46">
        <v>44</v>
      </c>
      <c r="B46" t="s">
        <v>69</v>
      </c>
      <c r="C46" t="s">
        <v>34</v>
      </c>
      <c r="D46" t="s">
        <v>139</v>
      </c>
      <c r="E46" t="s">
        <v>66</v>
      </c>
    </row>
    <row r="47" spans="1:12" hidden="1" x14ac:dyDescent="0.25">
      <c r="A47">
        <v>45</v>
      </c>
      <c r="B47" t="s">
        <v>70</v>
      </c>
      <c r="C47" t="s">
        <v>34</v>
      </c>
      <c r="D47" t="s">
        <v>139</v>
      </c>
      <c r="E47" t="s">
        <v>66</v>
      </c>
    </row>
    <row r="48" spans="1:12" hidden="1" x14ac:dyDescent="0.25">
      <c r="A48">
        <v>46</v>
      </c>
      <c r="B48" t="s">
        <v>71</v>
      </c>
      <c r="C48" t="s">
        <v>34</v>
      </c>
      <c r="D48" t="s">
        <v>139</v>
      </c>
      <c r="E48" t="s">
        <v>66</v>
      </c>
    </row>
    <row r="49" spans="1:12" hidden="1" x14ac:dyDescent="0.25">
      <c r="A49">
        <v>47</v>
      </c>
      <c r="B49" t="s">
        <v>72</v>
      </c>
      <c r="C49" t="s">
        <v>34</v>
      </c>
      <c r="D49" t="s">
        <v>139</v>
      </c>
      <c r="E49" t="s">
        <v>66</v>
      </c>
    </row>
    <row r="50" spans="1:12" ht="15" thickBot="1" x14ac:dyDescent="0.3">
      <c r="A50">
        <v>48</v>
      </c>
      <c r="B50" t="s">
        <v>73</v>
      </c>
      <c r="C50" t="s">
        <v>21</v>
      </c>
      <c r="D50" t="s">
        <v>138</v>
      </c>
      <c r="E50">
        <v>7</v>
      </c>
      <c r="F50" s="11">
        <v>7</v>
      </c>
      <c r="G50" s="13">
        <v>1</v>
      </c>
      <c r="H50" s="12"/>
      <c r="I50" s="13">
        <v>1</v>
      </c>
      <c r="J50" s="13">
        <v>1</v>
      </c>
      <c r="K50" s="13">
        <v>2</v>
      </c>
      <c r="L50" s="15">
        <v>1</v>
      </c>
    </row>
    <row r="51" spans="1:12" ht="14.5" thickBot="1" x14ac:dyDescent="0.3">
      <c r="A51">
        <v>49</v>
      </c>
      <c r="B51" t="s">
        <v>98</v>
      </c>
      <c r="C51" t="s">
        <v>21</v>
      </c>
      <c r="D51" t="s">
        <v>138</v>
      </c>
      <c r="E51">
        <v>8</v>
      </c>
      <c r="F51" s="11">
        <v>8</v>
      </c>
      <c r="G51" s="13">
        <v>1</v>
      </c>
      <c r="H51" s="13">
        <v>1</v>
      </c>
      <c r="I51" s="13">
        <v>1</v>
      </c>
      <c r="J51" s="13">
        <v>1</v>
      </c>
      <c r="K51" s="13">
        <v>4</v>
      </c>
      <c r="L51" s="15">
        <v>1</v>
      </c>
    </row>
    <row r="52" spans="1:12" x14ac:dyDescent="0.25">
      <c r="A52">
        <v>50</v>
      </c>
      <c r="B52" t="s">
        <v>99</v>
      </c>
      <c r="C52" t="s">
        <v>21</v>
      </c>
      <c r="D52" t="s">
        <v>138</v>
      </c>
      <c r="E52">
        <v>8</v>
      </c>
    </row>
    <row r="53" spans="1:12" x14ac:dyDescent="0.25">
      <c r="A53">
        <v>51</v>
      </c>
      <c r="B53" t="s">
        <v>100</v>
      </c>
      <c r="C53" t="s">
        <v>21</v>
      </c>
      <c r="D53" t="s">
        <v>138</v>
      </c>
      <c r="E53">
        <v>8</v>
      </c>
    </row>
    <row r="54" spans="1:12" ht="15" hidden="1" thickBot="1" x14ac:dyDescent="0.3">
      <c r="A54">
        <v>52</v>
      </c>
      <c r="B54" t="s">
        <v>101</v>
      </c>
      <c r="C54" t="s">
        <v>34</v>
      </c>
      <c r="D54" t="s">
        <v>138</v>
      </c>
      <c r="E54">
        <v>9</v>
      </c>
      <c r="F54" s="10">
        <v>9</v>
      </c>
      <c r="G54" s="17"/>
      <c r="H54" s="16">
        <v>6</v>
      </c>
      <c r="I54" s="17"/>
      <c r="J54" s="17"/>
      <c r="K54" s="16">
        <v>12</v>
      </c>
      <c r="L54" s="18">
        <v>1</v>
      </c>
    </row>
    <row r="55" spans="1:12" hidden="1" x14ac:dyDescent="0.25">
      <c r="A55">
        <v>53</v>
      </c>
      <c r="B55" t="s">
        <v>102</v>
      </c>
      <c r="C55" t="s">
        <v>34</v>
      </c>
      <c r="D55" t="s">
        <v>138</v>
      </c>
      <c r="E55">
        <v>9</v>
      </c>
    </row>
    <row r="56" spans="1:12" hidden="1" x14ac:dyDescent="0.25">
      <c r="A56">
        <v>54</v>
      </c>
      <c r="B56" t="s">
        <v>103</v>
      </c>
      <c r="C56" t="s">
        <v>34</v>
      </c>
      <c r="D56" t="s">
        <v>138</v>
      </c>
      <c r="E56">
        <v>9</v>
      </c>
    </row>
    <row r="57" spans="1:12" hidden="1" x14ac:dyDescent="0.25">
      <c r="A57">
        <v>55</v>
      </c>
      <c r="B57" t="s">
        <v>104</v>
      </c>
      <c r="C57" t="s">
        <v>34</v>
      </c>
      <c r="D57" t="s">
        <v>138</v>
      </c>
      <c r="E57">
        <v>9</v>
      </c>
    </row>
    <row r="58" spans="1:12" hidden="1" x14ac:dyDescent="0.25">
      <c r="A58">
        <v>56</v>
      </c>
      <c r="B58" t="s">
        <v>105</v>
      </c>
      <c r="C58" t="s">
        <v>34</v>
      </c>
      <c r="D58" t="s">
        <v>138</v>
      </c>
      <c r="E58">
        <v>9</v>
      </c>
    </row>
    <row r="59" spans="1:12" hidden="1" x14ac:dyDescent="0.25">
      <c r="A59">
        <v>57</v>
      </c>
      <c r="B59" t="s">
        <v>106</v>
      </c>
      <c r="C59" t="s">
        <v>34</v>
      </c>
      <c r="D59" t="s">
        <v>138</v>
      </c>
      <c r="E59">
        <v>9</v>
      </c>
    </row>
    <row r="60" spans="1:12" hidden="1" x14ac:dyDescent="0.25">
      <c r="A60">
        <v>58</v>
      </c>
      <c r="B60" t="s">
        <v>107</v>
      </c>
      <c r="C60" t="s">
        <v>34</v>
      </c>
      <c r="D60" t="s">
        <v>138</v>
      </c>
      <c r="E60">
        <v>9</v>
      </c>
    </row>
    <row r="61" spans="1:12" hidden="1" x14ac:dyDescent="0.25">
      <c r="A61">
        <v>59</v>
      </c>
      <c r="B61" t="s">
        <v>108</v>
      </c>
      <c r="C61" t="s">
        <v>34</v>
      </c>
      <c r="D61" t="s">
        <v>138</v>
      </c>
      <c r="E61">
        <v>9</v>
      </c>
    </row>
    <row r="62" spans="1:12" hidden="1" x14ac:dyDescent="0.25">
      <c r="A62">
        <v>60</v>
      </c>
      <c r="B62" t="s">
        <v>135</v>
      </c>
      <c r="C62" t="s">
        <v>34</v>
      </c>
      <c r="D62" t="s">
        <v>138</v>
      </c>
      <c r="E62">
        <v>9</v>
      </c>
    </row>
    <row r="63" spans="1:12" ht="15" hidden="1" thickBot="1" x14ac:dyDescent="0.3">
      <c r="A63">
        <v>61</v>
      </c>
      <c r="B63" t="s">
        <v>109</v>
      </c>
      <c r="C63" t="s">
        <v>55</v>
      </c>
      <c r="D63" t="s">
        <v>138</v>
      </c>
      <c r="E63">
        <v>10</v>
      </c>
      <c r="F63" s="10">
        <v>10</v>
      </c>
      <c r="G63" s="16">
        <v>2</v>
      </c>
      <c r="H63" s="16">
        <v>2</v>
      </c>
      <c r="I63" s="17"/>
      <c r="J63" s="16">
        <v>1</v>
      </c>
      <c r="K63" s="16">
        <v>6</v>
      </c>
      <c r="L63" s="18">
        <v>1</v>
      </c>
    </row>
    <row r="64" spans="1:12" hidden="1" x14ac:dyDescent="0.25">
      <c r="A64">
        <v>62</v>
      </c>
      <c r="B64" t="s">
        <v>110</v>
      </c>
      <c r="C64" t="s">
        <v>55</v>
      </c>
      <c r="D64" t="s">
        <v>138</v>
      </c>
      <c r="E64">
        <v>10</v>
      </c>
    </row>
    <row r="65" spans="1:12" hidden="1" x14ac:dyDescent="0.25">
      <c r="A65">
        <v>63</v>
      </c>
      <c r="B65" t="s">
        <v>111</v>
      </c>
      <c r="C65" t="s">
        <v>55</v>
      </c>
      <c r="D65" t="s">
        <v>138</v>
      </c>
      <c r="E65">
        <v>10</v>
      </c>
    </row>
    <row r="66" spans="1:12" hidden="1" x14ac:dyDescent="0.25">
      <c r="A66">
        <v>64</v>
      </c>
      <c r="B66" t="s">
        <v>112</v>
      </c>
      <c r="C66" t="s">
        <v>55</v>
      </c>
      <c r="D66" t="s">
        <v>138</v>
      </c>
      <c r="E66">
        <v>10</v>
      </c>
    </row>
    <row r="67" spans="1:12" hidden="1" x14ac:dyDescent="0.25">
      <c r="A67">
        <v>65</v>
      </c>
      <c r="B67" t="s">
        <v>113</v>
      </c>
      <c r="C67" t="s">
        <v>55</v>
      </c>
      <c r="D67" t="s">
        <v>138</v>
      </c>
      <c r="E67">
        <v>10</v>
      </c>
    </row>
    <row r="68" spans="1:12" hidden="1" x14ac:dyDescent="0.25">
      <c r="A68">
        <v>66</v>
      </c>
      <c r="B68" t="s">
        <v>114</v>
      </c>
      <c r="C68" t="s">
        <v>55</v>
      </c>
      <c r="D68" t="s">
        <v>138</v>
      </c>
      <c r="E68">
        <v>10</v>
      </c>
    </row>
    <row r="69" spans="1:12" ht="15" hidden="1" thickBot="1" x14ac:dyDescent="0.3">
      <c r="A69">
        <v>67</v>
      </c>
      <c r="B69" t="s">
        <v>115</v>
      </c>
      <c r="C69" t="s">
        <v>55</v>
      </c>
      <c r="D69" t="s">
        <v>138</v>
      </c>
      <c r="E69">
        <v>11</v>
      </c>
      <c r="F69" s="10">
        <v>11</v>
      </c>
      <c r="G69" s="16">
        <v>1</v>
      </c>
      <c r="H69" s="16">
        <v>1</v>
      </c>
      <c r="I69" s="16">
        <v>1</v>
      </c>
      <c r="J69" s="17"/>
      <c r="K69" s="16">
        <v>4</v>
      </c>
      <c r="L69" s="18">
        <v>1</v>
      </c>
    </row>
    <row r="70" spans="1:12" hidden="1" x14ac:dyDescent="0.25">
      <c r="A70">
        <v>68</v>
      </c>
      <c r="B70" t="s">
        <v>116</v>
      </c>
      <c r="C70" t="s">
        <v>55</v>
      </c>
      <c r="D70" t="s">
        <v>138</v>
      </c>
      <c r="E70">
        <v>11</v>
      </c>
    </row>
    <row r="71" spans="1:12" ht="14.5" hidden="1" thickBot="1" x14ac:dyDescent="0.3">
      <c r="A71">
        <v>69</v>
      </c>
      <c r="B71" t="s">
        <v>117</v>
      </c>
      <c r="C71" t="s">
        <v>34</v>
      </c>
      <c r="D71" t="s">
        <v>138</v>
      </c>
      <c r="E71">
        <v>12</v>
      </c>
      <c r="F71" s="6">
        <v>12</v>
      </c>
      <c r="G71" s="7">
        <v>2</v>
      </c>
      <c r="H71" s="7">
        <v>1</v>
      </c>
      <c r="I71" s="7">
        <v>1</v>
      </c>
      <c r="J71" s="7">
        <v>1</v>
      </c>
      <c r="K71" s="7">
        <v>5</v>
      </c>
      <c r="L71" s="8">
        <v>1</v>
      </c>
    </row>
    <row r="72" spans="1:12" hidden="1" x14ac:dyDescent="0.25">
      <c r="A72">
        <v>70</v>
      </c>
      <c r="B72" t="s">
        <v>118</v>
      </c>
      <c r="C72" t="s">
        <v>34</v>
      </c>
      <c r="D72" t="s">
        <v>138</v>
      </c>
      <c r="E72">
        <v>12</v>
      </c>
    </row>
    <row r="73" spans="1:12" hidden="1" x14ac:dyDescent="0.25">
      <c r="A73">
        <v>71</v>
      </c>
      <c r="B73" t="s">
        <v>119</v>
      </c>
      <c r="C73" t="s">
        <v>34</v>
      </c>
      <c r="D73" t="s">
        <v>138</v>
      </c>
      <c r="E73">
        <v>12</v>
      </c>
    </row>
    <row r="74" spans="1:12" hidden="1" x14ac:dyDescent="0.25">
      <c r="A74">
        <v>72</v>
      </c>
      <c r="B74" t="s">
        <v>120</v>
      </c>
      <c r="C74" t="s">
        <v>34</v>
      </c>
      <c r="D74" t="s">
        <v>138</v>
      </c>
      <c r="E74">
        <v>12</v>
      </c>
    </row>
    <row r="75" spans="1:12" ht="15" hidden="1" thickBot="1" x14ac:dyDescent="0.3">
      <c r="A75">
        <v>73</v>
      </c>
      <c r="B75" t="s">
        <v>121</v>
      </c>
      <c r="C75" t="s">
        <v>42</v>
      </c>
      <c r="D75" t="s">
        <v>138</v>
      </c>
      <c r="E75">
        <v>13</v>
      </c>
      <c r="F75" s="19">
        <v>13</v>
      </c>
      <c r="G75" s="20"/>
      <c r="H75" s="21">
        <v>3</v>
      </c>
      <c r="I75" s="20"/>
      <c r="J75" s="21">
        <v>1</v>
      </c>
      <c r="K75" s="7">
        <v>6</v>
      </c>
      <c r="L75" s="22">
        <v>1</v>
      </c>
    </row>
    <row r="76" spans="1:12" hidden="1" x14ac:dyDescent="0.25">
      <c r="A76">
        <v>74</v>
      </c>
      <c r="B76" t="s">
        <v>122</v>
      </c>
      <c r="C76" t="s">
        <v>42</v>
      </c>
      <c r="D76" t="s">
        <v>138</v>
      </c>
      <c r="E76">
        <v>13</v>
      </c>
    </row>
    <row r="77" spans="1:12" hidden="1" x14ac:dyDescent="0.25">
      <c r="A77">
        <v>75</v>
      </c>
      <c r="B77" t="s">
        <v>123</v>
      </c>
      <c r="C77" t="s">
        <v>42</v>
      </c>
      <c r="D77" t="s">
        <v>138</v>
      </c>
      <c r="E77">
        <v>13</v>
      </c>
    </row>
    <row r="78" spans="1:12" ht="15" hidden="1" thickBot="1" x14ac:dyDescent="0.3">
      <c r="A78">
        <v>76</v>
      </c>
      <c r="B78" t="s">
        <v>124</v>
      </c>
      <c r="C78" t="s">
        <v>42</v>
      </c>
      <c r="D78" t="s">
        <v>138</v>
      </c>
      <c r="E78">
        <v>14</v>
      </c>
      <c r="F78" s="19">
        <v>14</v>
      </c>
      <c r="G78" s="20"/>
      <c r="H78" s="21">
        <v>3</v>
      </c>
      <c r="I78" s="20"/>
      <c r="J78" s="21">
        <v>1</v>
      </c>
      <c r="K78" s="7">
        <v>6</v>
      </c>
      <c r="L78" s="22">
        <v>1</v>
      </c>
    </row>
    <row r="79" spans="1:12" hidden="1" x14ac:dyDescent="0.25">
      <c r="A79">
        <v>77</v>
      </c>
      <c r="B79" t="s">
        <v>125</v>
      </c>
      <c r="C79" t="s">
        <v>42</v>
      </c>
      <c r="D79" t="s">
        <v>138</v>
      </c>
      <c r="E79">
        <v>14</v>
      </c>
    </row>
    <row r="80" spans="1:12" hidden="1" x14ac:dyDescent="0.25">
      <c r="A80">
        <v>78</v>
      </c>
      <c r="B80" t="s">
        <v>126</v>
      </c>
      <c r="C80" t="s">
        <v>42</v>
      </c>
      <c r="D80" t="s">
        <v>138</v>
      </c>
      <c r="E80">
        <v>14</v>
      </c>
    </row>
    <row r="81" spans="1:12" ht="15" hidden="1" thickBot="1" x14ac:dyDescent="0.3">
      <c r="A81">
        <v>79</v>
      </c>
      <c r="B81" t="s">
        <v>127</v>
      </c>
      <c r="C81" t="s">
        <v>42</v>
      </c>
      <c r="D81" t="s">
        <v>138</v>
      </c>
      <c r="E81">
        <v>15</v>
      </c>
      <c r="F81" s="19">
        <v>15</v>
      </c>
      <c r="G81" s="20"/>
      <c r="H81" s="21">
        <v>3</v>
      </c>
      <c r="I81" s="20"/>
      <c r="J81" s="21">
        <v>1</v>
      </c>
      <c r="K81" s="7">
        <v>6</v>
      </c>
      <c r="L81" s="22">
        <v>1</v>
      </c>
    </row>
    <row r="82" spans="1:12" hidden="1" x14ac:dyDescent="0.25">
      <c r="A82">
        <v>80</v>
      </c>
      <c r="B82" t="s">
        <v>128</v>
      </c>
      <c r="C82" t="s">
        <v>42</v>
      </c>
      <c r="D82" t="s">
        <v>138</v>
      </c>
      <c r="E82">
        <v>15</v>
      </c>
    </row>
    <row r="83" spans="1:12" hidden="1" x14ac:dyDescent="0.25">
      <c r="A83">
        <v>81</v>
      </c>
      <c r="B83" t="s">
        <v>129</v>
      </c>
      <c r="C83" t="s">
        <v>42</v>
      </c>
      <c r="D83" t="s">
        <v>138</v>
      </c>
      <c r="E83">
        <v>15</v>
      </c>
    </row>
    <row r="84" spans="1:12" ht="15" hidden="1" thickBot="1" x14ac:dyDescent="0.3">
      <c r="A84">
        <v>82</v>
      </c>
      <c r="B84" t="s">
        <v>130</v>
      </c>
      <c r="C84" t="s">
        <v>42</v>
      </c>
      <c r="D84" t="s">
        <v>138</v>
      </c>
      <c r="E84">
        <v>16</v>
      </c>
      <c r="F84" s="19">
        <v>16</v>
      </c>
      <c r="G84" s="20"/>
      <c r="H84" s="21">
        <v>3</v>
      </c>
      <c r="I84" s="20"/>
      <c r="J84" s="21">
        <v>1</v>
      </c>
      <c r="K84" s="7">
        <v>6</v>
      </c>
      <c r="L84" s="22">
        <v>1</v>
      </c>
    </row>
    <row r="85" spans="1:12" hidden="1" x14ac:dyDescent="0.25">
      <c r="A85">
        <v>83</v>
      </c>
      <c r="B85" t="s">
        <v>131</v>
      </c>
      <c r="C85" t="s">
        <v>42</v>
      </c>
      <c r="D85" t="s">
        <v>138</v>
      </c>
      <c r="E85">
        <v>16</v>
      </c>
    </row>
    <row r="86" spans="1:12" hidden="1" x14ac:dyDescent="0.25">
      <c r="A86">
        <v>84</v>
      </c>
      <c r="B86" t="s">
        <v>132</v>
      </c>
      <c r="C86" t="s">
        <v>42</v>
      </c>
      <c r="D86" t="s">
        <v>138</v>
      </c>
      <c r="E86">
        <v>16</v>
      </c>
    </row>
    <row r="87" spans="1:12" ht="15" hidden="1" thickBot="1" x14ac:dyDescent="0.3">
      <c r="A87">
        <v>85</v>
      </c>
      <c r="B87" t="s">
        <v>133</v>
      </c>
      <c r="C87" t="s">
        <v>42</v>
      </c>
      <c r="D87" t="s">
        <v>138</v>
      </c>
      <c r="E87">
        <v>17</v>
      </c>
      <c r="F87" s="19">
        <v>17</v>
      </c>
      <c r="G87" s="20"/>
      <c r="H87" s="21">
        <v>3</v>
      </c>
      <c r="I87" s="20"/>
      <c r="J87" s="21">
        <v>1</v>
      </c>
      <c r="K87" s="7">
        <v>6</v>
      </c>
      <c r="L87" s="22">
        <v>1</v>
      </c>
    </row>
    <row r="88" spans="1:12" hidden="1" x14ac:dyDescent="0.25">
      <c r="A88">
        <v>86</v>
      </c>
      <c r="B88" t="s">
        <v>134</v>
      </c>
      <c r="C88" t="s">
        <v>42</v>
      </c>
      <c r="D88" t="s">
        <v>138</v>
      </c>
      <c r="E88">
        <v>17</v>
      </c>
    </row>
    <row r="89" spans="1:12" ht="15" thickBot="1" x14ac:dyDescent="0.3">
      <c r="A89">
        <v>87</v>
      </c>
      <c r="B89" t="s">
        <v>74</v>
      </c>
      <c r="C89" t="s">
        <v>21</v>
      </c>
      <c r="D89" t="s">
        <v>138</v>
      </c>
      <c r="E89">
        <v>18</v>
      </c>
      <c r="F89" s="19">
        <v>18</v>
      </c>
      <c r="G89" s="20"/>
      <c r="H89" s="21">
        <v>3</v>
      </c>
      <c r="I89" s="20"/>
      <c r="J89" s="21">
        <v>1</v>
      </c>
      <c r="K89" s="7">
        <v>6</v>
      </c>
      <c r="L89" s="22">
        <v>1</v>
      </c>
    </row>
    <row r="90" spans="1:12" x14ac:dyDescent="0.25">
      <c r="A90">
        <v>88</v>
      </c>
      <c r="B90" t="s">
        <v>75</v>
      </c>
      <c r="C90" t="s">
        <v>21</v>
      </c>
      <c r="D90" t="s">
        <v>138</v>
      </c>
      <c r="E90">
        <v>18</v>
      </c>
    </row>
    <row r="91" spans="1:12" x14ac:dyDescent="0.25">
      <c r="A91">
        <v>89</v>
      </c>
      <c r="B91" t="s">
        <v>76</v>
      </c>
      <c r="C91" t="s">
        <v>21</v>
      </c>
      <c r="D91" t="s">
        <v>138</v>
      </c>
      <c r="E91">
        <v>18</v>
      </c>
    </row>
    <row r="92" spans="1:12" ht="15" hidden="1" thickBot="1" x14ac:dyDescent="0.3">
      <c r="A92">
        <v>90</v>
      </c>
      <c r="B92" t="s">
        <v>77</v>
      </c>
      <c r="C92" t="s">
        <v>42</v>
      </c>
      <c r="D92" t="s">
        <v>138</v>
      </c>
      <c r="E92">
        <v>19</v>
      </c>
      <c r="F92" s="19">
        <v>19</v>
      </c>
      <c r="G92" s="20"/>
      <c r="H92" s="21">
        <v>3</v>
      </c>
      <c r="I92" s="20"/>
      <c r="J92" s="21">
        <v>1</v>
      </c>
      <c r="K92" s="7">
        <v>6</v>
      </c>
      <c r="L92" s="22">
        <v>1</v>
      </c>
    </row>
    <row r="93" spans="1:12" hidden="1" x14ac:dyDescent="0.25">
      <c r="A93">
        <v>91</v>
      </c>
      <c r="B93" t="s">
        <v>78</v>
      </c>
      <c r="C93" t="s">
        <v>42</v>
      </c>
      <c r="D93" t="s">
        <v>138</v>
      </c>
      <c r="E93">
        <v>19</v>
      </c>
    </row>
    <row r="94" spans="1:12" ht="15" thickBot="1" x14ac:dyDescent="0.3">
      <c r="A94">
        <v>92</v>
      </c>
      <c r="B94" t="s">
        <v>79</v>
      </c>
      <c r="C94" t="s">
        <v>21</v>
      </c>
      <c r="D94" t="s">
        <v>138</v>
      </c>
      <c r="E94">
        <v>20</v>
      </c>
      <c r="F94" s="19">
        <v>20</v>
      </c>
      <c r="G94" s="20"/>
      <c r="H94" s="21">
        <v>3</v>
      </c>
      <c r="I94" s="20"/>
      <c r="J94" s="21">
        <v>1</v>
      </c>
      <c r="K94" s="7">
        <v>6</v>
      </c>
      <c r="L94" s="22">
        <v>1</v>
      </c>
    </row>
    <row r="95" spans="1:12" x14ac:dyDescent="0.25">
      <c r="A95">
        <v>93</v>
      </c>
      <c r="B95" t="s">
        <v>80</v>
      </c>
      <c r="C95" t="s">
        <v>21</v>
      </c>
      <c r="D95" t="s">
        <v>138</v>
      </c>
      <c r="E95">
        <v>20</v>
      </c>
    </row>
    <row r="96" spans="1:12" x14ac:dyDescent="0.25">
      <c r="A96">
        <v>94</v>
      </c>
      <c r="B96" t="s">
        <v>81</v>
      </c>
      <c r="C96" t="s">
        <v>21</v>
      </c>
      <c r="D96" t="s">
        <v>138</v>
      </c>
      <c r="E96">
        <v>20</v>
      </c>
    </row>
    <row r="97" spans="1:12" ht="15" thickBot="1" x14ac:dyDescent="0.3">
      <c r="A97">
        <v>95</v>
      </c>
      <c r="B97" t="s">
        <v>82</v>
      </c>
      <c r="C97" t="s">
        <v>21</v>
      </c>
      <c r="D97" t="s">
        <v>138</v>
      </c>
      <c r="E97">
        <v>21</v>
      </c>
      <c r="F97" s="23">
        <v>21</v>
      </c>
      <c r="G97" s="24"/>
      <c r="H97" s="25">
        <v>3</v>
      </c>
      <c r="I97" s="24"/>
      <c r="J97" s="24"/>
      <c r="K97" s="7">
        <v>6</v>
      </c>
      <c r="L97" s="26"/>
    </row>
    <row r="98" spans="1:12" x14ac:dyDescent="0.25">
      <c r="A98">
        <v>96</v>
      </c>
      <c r="B98" t="s">
        <v>83</v>
      </c>
      <c r="C98" t="s">
        <v>21</v>
      </c>
      <c r="D98" t="s">
        <v>138</v>
      </c>
      <c r="E98">
        <v>21</v>
      </c>
    </row>
    <row r="99" spans="1:12" x14ac:dyDescent="0.25">
      <c r="A99">
        <v>97</v>
      </c>
      <c r="B99" t="s">
        <v>84</v>
      </c>
      <c r="C99" t="s">
        <v>21</v>
      </c>
      <c r="D99" t="s">
        <v>138</v>
      </c>
      <c r="E99">
        <v>21</v>
      </c>
    </row>
    <row r="100" spans="1:12" ht="15" thickBot="1" x14ac:dyDescent="0.3">
      <c r="A100">
        <v>98</v>
      </c>
      <c r="B100" t="s">
        <v>85</v>
      </c>
      <c r="C100" t="s">
        <v>21</v>
      </c>
      <c r="D100" t="s">
        <v>138</v>
      </c>
      <c r="E100">
        <v>22</v>
      </c>
      <c r="F100" s="23">
        <v>22</v>
      </c>
      <c r="G100" s="24"/>
      <c r="H100" s="25">
        <v>3</v>
      </c>
      <c r="I100" s="24"/>
      <c r="J100" s="24"/>
      <c r="K100" s="7">
        <v>6</v>
      </c>
      <c r="L100" s="26"/>
    </row>
    <row r="101" spans="1:12" x14ac:dyDescent="0.25">
      <c r="A101">
        <v>99</v>
      </c>
      <c r="B101" t="s">
        <v>86</v>
      </c>
      <c r="C101" t="s">
        <v>21</v>
      </c>
      <c r="D101" t="s">
        <v>138</v>
      </c>
      <c r="E101">
        <v>22</v>
      </c>
    </row>
    <row r="102" spans="1:12" x14ac:dyDescent="0.25">
      <c r="A102">
        <v>100</v>
      </c>
      <c r="B102" t="s">
        <v>87</v>
      </c>
      <c r="C102" t="s">
        <v>21</v>
      </c>
      <c r="D102" t="s">
        <v>138</v>
      </c>
      <c r="E102">
        <v>22</v>
      </c>
    </row>
    <row r="103" spans="1:12" ht="15" thickBot="1" x14ac:dyDescent="0.3">
      <c r="A103">
        <v>101</v>
      </c>
      <c r="B103" t="s">
        <v>88</v>
      </c>
      <c r="C103" t="s">
        <v>21</v>
      </c>
      <c r="D103" t="s">
        <v>138</v>
      </c>
      <c r="E103">
        <v>23</v>
      </c>
      <c r="F103" s="23">
        <v>23</v>
      </c>
      <c r="G103" s="24"/>
      <c r="H103" s="25">
        <v>3</v>
      </c>
      <c r="I103" s="24"/>
      <c r="J103" s="24"/>
      <c r="K103" s="7">
        <v>6</v>
      </c>
      <c r="L103" s="26"/>
    </row>
    <row r="104" spans="1:12" x14ac:dyDescent="0.25">
      <c r="A104">
        <v>102</v>
      </c>
      <c r="B104" t="s">
        <v>89</v>
      </c>
      <c r="C104" t="s">
        <v>21</v>
      </c>
      <c r="D104" t="s">
        <v>138</v>
      </c>
      <c r="E104">
        <v>23</v>
      </c>
    </row>
    <row r="105" spans="1:12" x14ac:dyDescent="0.25">
      <c r="A105">
        <v>103</v>
      </c>
      <c r="B105" t="s">
        <v>90</v>
      </c>
      <c r="C105" t="s">
        <v>21</v>
      </c>
      <c r="D105" t="s">
        <v>138</v>
      </c>
      <c r="E105">
        <v>23</v>
      </c>
    </row>
    <row r="106" spans="1:12" ht="15" thickBot="1" x14ac:dyDescent="0.3">
      <c r="A106">
        <v>104</v>
      </c>
      <c r="B106" t="s">
        <v>91</v>
      </c>
      <c r="C106" t="s">
        <v>21</v>
      </c>
      <c r="D106" t="s">
        <v>138</v>
      </c>
      <c r="E106">
        <v>24</v>
      </c>
      <c r="F106" s="23">
        <v>24</v>
      </c>
      <c r="G106" s="24"/>
      <c r="H106" s="25">
        <v>3</v>
      </c>
      <c r="I106" s="24"/>
      <c r="J106" s="24"/>
      <c r="K106" s="7">
        <v>6</v>
      </c>
      <c r="L106" s="26"/>
    </row>
    <row r="107" spans="1:12" x14ac:dyDescent="0.25">
      <c r="A107">
        <v>105</v>
      </c>
      <c r="B107" t="s">
        <v>92</v>
      </c>
      <c r="C107" t="s">
        <v>21</v>
      </c>
      <c r="D107" t="s">
        <v>138</v>
      </c>
      <c r="E107">
        <v>24</v>
      </c>
    </row>
    <row r="108" spans="1:12" x14ac:dyDescent="0.25">
      <c r="A108">
        <v>106</v>
      </c>
      <c r="B108" t="s">
        <v>93</v>
      </c>
      <c r="C108" t="s">
        <v>21</v>
      </c>
      <c r="D108" t="s">
        <v>138</v>
      </c>
      <c r="E108">
        <v>24</v>
      </c>
    </row>
    <row r="109" spans="1:12" ht="15" thickBot="1" x14ac:dyDescent="0.3">
      <c r="A109">
        <v>107</v>
      </c>
      <c r="B109" t="s">
        <v>94</v>
      </c>
      <c r="C109" t="s">
        <v>21</v>
      </c>
      <c r="D109" t="s">
        <v>138</v>
      </c>
      <c r="E109">
        <v>25</v>
      </c>
      <c r="F109" s="23">
        <v>25</v>
      </c>
      <c r="G109" s="24"/>
      <c r="H109" s="25">
        <v>3</v>
      </c>
      <c r="I109" s="24"/>
      <c r="J109" s="24"/>
      <c r="K109" s="7">
        <v>6</v>
      </c>
      <c r="L109" s="26"/>
    </row>
    <row r="110" spans="1:12" x14ac:dyDescent="0.25">
      <c r="A110">
        <v>108</v>
      </c>
      <c r="B110" t="s">
        <v>95</v>
      </c>
      <c r="C110" t="s">
        <v>21</v>
      </c>
      <c r="D110" t="s">
        <v>138</v>
      </c>
      <c r="E110">
        <v>25</v>
      </c>
    </row>
    <row r="111" spans="1:12" ht="15" thickBot="1" x14ac:dyDescent="0.3">
      <c r="A111">
        <v>109</v>
      </c>
      <c r="B111" t="s">
        <v>96</v>
      </c>
      <c r="C111" t="s">
        <v>21</v>
      </c>
      <c r="D111" t="s">
        <v>138</v>
      </c>
      <c r="E111">
        <v>26</v>
      </c>
      <c r="F111" s="23">
        <v>26</v>
      </c>
      <c r="G111" s="24"/>
      <c r="H111" s="25">
        <v>3</v>
      </c>
      <c r="I111" s="24"/>
      <c r="J111" s="24"/>
      <c r="K111" s="7">
        <v>6</v>
      </c>
      <c r="L111" s="26"/>
    </row>
    <row r="112" spans="1:12" x14ac:dyDescent="0.25">
      <c r="A112">
        <v>110</v>
      </c>
      <c r="B112" t="s">
        <v>97</v>
      </c>
      <c r="C112" t="s">
        <v>21</v>
      </c>
      <c r="D112" t="s">
        <v>138</v>
      </c>
      <c r="E112">
        <v>26</v>
      </c>
    </row>
  </sheetData>
  <mergeCells count="1">
    <mergeCell ref="G1:I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B452-7120-44EF-9CD8-FF4D0DF1647B}">
  <dimension ref="A1:I77"/>
  <sheetViews>
    <sheetView tabSelected="1" topLeftCell="A64" workbookViewId="0">
      <selection activeCell="E82" sqref="E82"/>
    </sheetView>
  </sheetViews>
  <sheetFormatPr defaultRowHeight="13.5" x14ac:dyDescent="0.25"/>
  <cols>
    <col min="2" max="2" width="41.4140625" bestFit="1" customWidth="1"/>
    <col min="3" max="3" width="13.83203125" bestFit="1" customWidth="1"/>
    <col min="5" max="5" width="39.1640625" bestFit="1" customWidth="1"/>
    <col min="8" max="9" width="0" hidden="1" customWidth="1"/>
  </cols>
  <sheetData>
    <row r="1" spans="1:9" ht="42" x14ac:dyDescent="0.3">
      <c r="A1" s="38" t="s">
        <v>18</v>
      </c>
      <c r="B1" s="38" t="s">
        <v>17</v>
      </c>
      <c r="C1" s="38" t="s">
        <v>20</v>
      </c>
      <c r="D1" s="43" t="s">
        <v>140</v>
      </c>
      <c r="E1" s="38" t="s">
        <v>137</v>
      </c>
      <c r="H1" s="36" t="s">
        <v>18</v>
      </c>
      <c r="I1" s="37" t="s">
        <v>17</v>
      </c>
    </row>
    <row r="2" spans="1:9" x14ac:dyDescent="0.25">
      <c r="A2" s="35">
        <v>12</v>
      </c>
      <c r="B2" s="33" t="s">
        <v>45</v>
      </c>
      <c r="C2" s="33" t="s">
        <v>34</v>
      </c>
      <c r="D2" s="41">
        <v>1</v>
      </c>
      <c r="E2" s="44" t="str">
        <f>VLOOKUP(Table2[[#This Row],[Reg Chuquisaca]],$H$1:$I$35,2,0)</f>
        <v>AJHUACHO VILLALOBOS BANIA ANGELA</v>
      </c>
      <c r="H2" s="32">
        <v>1</v>
      </c>
      <c r="I2" s="33" t="s">
        <v>0</v>
      </c>
    </row>
    <row r="3" spans="1:9" x14ac:dyDescent="0.25">
      <c r="A3" s="33">
        <v>43</v>
      </c>
      <c r="B3" s="33" t="s">
        <v>109</v>
      </c>
      <c r="C3" s="33" t="s">
        <v>55</v>
      </c>
      <c r="D3" s="40">
        <v>1</v>
      </c>
      <c r="E3" s="35" t="str">
        <f>VLOOKUP(Table2[[#This Row],[Reg Chuquisaca]],$H$1:$I$35,2,0)</f>
        <v>AJHUACHO VILLALOBOS BANIA ANGELA</v>
      </c>
      <c r="H3" s="34">
        <v>2</v>
      </c>
      <c r="I3" s="35" t="s">
        <v>1</v>
      </c>
    </row>
    <row r="4" spans="1:9" x14ac:dyDescent="0.25">
      <c r="A4" s="33">
        <v>25</v>
      </c>
      <c r="B4" s="35" t="s">
        <v>101</v>
      </c>
      <c r="C4" s="35" t="s">
        <v>34</v>
      </c>
      <c r="D4" s="40">
        <v>2</v>
      </c>
      <c r="E4" s="35" t="str">
        <f>VLOOKUP(Table2[[#This Row],[Reg Chuquisaca]],$H$1:$I$35,2,0)</f>
        <v>CLEMENTE CHIRARI ALEJANDRA</v>
      </c>
      <c r="H4" s="32">
        <v>3</v>
      </c>
      <c r="I4" s="33" t="s">
        <v>2</v>
      </c>
    </row>
    <row r="5" spans="1:9" x14ac:dyDescent="0.25">
      <c r="A5" s="33">
        <v>53</v>
      </c>
      <c r="B5" s="33" t="s">
        <v>36</v>
      </c>
      <c r="C5" s="33" t="s">
        <v>42</v>
      </c>
      <c r="D5" s="40">
        <v>2</v>
      </c>
      <c r="E5" s="35" t="str">
        <f>VLOOKUP(Table2[[#This Row],[Reg Chuquisaca]],$H$1:$I$35,2,0)</f>
        <v>CLEMENTE CHIRARI ALEJANDRA</v>
      </c>
      <c r="H5" s="34">
        <v>4</v>
      </c>
      <c r="I5" s="35" t="s">
        <v>3</v>
      </c>
    </row>
    <row r="6" spans="1:9" x14ac:dyDescent="0.25">
      <c r="A6" s="33">
        <v>5</v>
      </c>
      <c r="B6" s="33" t="s">
        <v>26</v>
      </c>
      <c r="C6" s="33" t="s">
        <v>34</v>
      </c>
      <c r="D6" s="40">
        <v>3</v>
      </c>
      <c r="E6" s="35" t="str">
        <f>VLOOKUP(Table2[[#This Row],[Reg Chuquisaca]],$H$1:$I$35,2,0)</f>
        <v>LLANOS RAMOS JHANET</v>
      </c>
      <c r="H6" s="32">
        <v>5</v>
      </c>
      <c r="I6" s="33" t="s">
        <v>4</v>
      </c>
    </row>
    <row r="7" spans="1:9" x14ac:dyDescent="0.25">
      <c r="A7" s="33">
        <v>39</v>
      </c>
      <c r="B7" s="33" t="s">
        <v>51</v>
      </c>
      <c r="C7" s="33" t="s">
        <v>55</v>
      </c>
      <c r="D7" s="40">
        <v>3</v>
      </c>
      <c r="E7" s="35" t="str">
        <f>VLOOKUP(Table2[[#This Row],[Reg Chuquisaca]],$H$1:$I$35,2,0)</f>
        <v>LLANOS RAMOS JHANET</v>
      </c>
      <c r="H7" s="34">
        <v>6</v>
      </c>
      <c r="I7" s="35" t="s">
        <v>5</v>
      </c>
    </row>
    <row r="8" spans="1:9" x14ac:dyDescent="0.25">
      <c r="A8" s="33">
        <v>19</v>
      </c>
      <c r="B8" s="35" t="s">
        <v>67</v>
      </c>
      <c r="C8" s="35" t="s">
        <v>34</v>
      </c>
      <c r="D8" s="40">
        <v>4</v>
      </c>
      <c r="E8" s="35" t="str">
        <f>VLOOKUP(Table2[[#This Row],[Reg Chuquisaca]],$H$1:$I$35,2,0)</f>
        <v>MICHAGA PORTUGAL MAGALY</v>
      </c>
      <c r="H8" s="32">
        <v>7</v>
      </c>
      <c r="I8" s="33" t="s">
        <v>6</v>
      </c>
    </row>
    <row r="9" spans="1:9" x14ac:dyDescent="0.25">
      <c r="A9" s="35">
        <v>2</v>
      </c>
      <c r="B9" s="35" t="s">
        <v>23</v>
      </c>
      <c r="C9" s="35" t="s">
        <v>34</v>
      </c>
      <c r="D9" s="40">
        <v>5</v>
      </c>
      <c r="E9" s="35" t="str">
        <f>VLOOKUP(Table2[[#This Row],[Reg Chuquisaca]],$H$1:$I$35,2,0)</f>
        <v>PEREZ SERRUDO ELSA</v>
      </c>
      <c r="H9" s="34">
        <v>8</v>
      </c>
      <c r="I9" s="35" t="s">
        <v>63</v>
      </c>
    </row>
    <row r="10" spans="1:9" x14ac:dyDescent="0.25">
      <c r="A10" s="33">
        <v>49</v>
      </c>
      <c r="B10" s="33" t="s">
        <v>115</v>
      </c>
      <c r="C10" s="33" t="s">
        <v>55</v>
      </c>
      <c r="D10" s="40">
        <v>5</v>
      </c>
      <c r="E10" s="35" t="str">
        <f>VLOOKUP(Table2[[#This Row],[Reg Chuquisaca]],$H$1:$I$35,2,0)</f>
        <v>PEREZ SERRUDO ELSA</v>
      </c>
      <c r="H10" s="32">
        <v>9</v>
      </c>
      <c r="I10" s="33" t="s">
        <v>73</v>
      </c>
    </row>
    <row r="11" spans="1:9" x14ac:dyDescent="0.25">
      <c r="A11" s="35">
        <v>16</v>
      </c>
      <c r="B11" s="33" t="s">
        <v>49</v>
      </c>
      <c r="C11" s="33" t="s">
        <v>34</v>
      </c>
      <c r="D11" s="40">
        <v>6</v>
      </c>
      <c r="E11" s="35" t="str">
        <f>VLOOKUP(Table2[[#This Row],[Reg Chuquisaca]],$H$1:$I$35,2,0)</f>
        <v>ROMERO TELLEZ WILMA</v>
      </c>
      <c r="H11" s="34">
        <v>10</v>
      </c>
      <c r="I11" s="35" t="s">
        <v>98</v>
      </c>
    </row>
    <row r="12" spans="1:9" x14ac:dyDescent="0.25">
      <c r="A12" s="33">
        <v>35</v>
      </c>
      <c r="B12" s="35" t="s">
        <v>118</v>
      </c>
      <c r="C12" s="35" t="s">
        <v>34</v>
      </c>
      <c r="D12" s="40">
        <v>6</v>
      </c>
      <c r="E12" s="35" t="str">
        <f>VLOOKUP(Table2[[#This Row],[Reg Chuquisaca]],$H$1:$I$35,2,0)</f>
        <v>ROMERO TELLEZ WILMA</v>
      </c>
      <c r="H12" s="32">
        <v>11</v>
      </c>
      <c r="I12" s="33" t="s">
        <v>99</v>
      </c>
    </row>
    <row r="13" spans="1:9" x14ac:dyDescent="0.25">
      <c r="A13" s="33">
        <v>69</v>
      </c>
      <c r="B13" s="33" t="s">
        <v>129</v>
      </c>
      <c r="C13" s="33" t="s">
        <v>42</v>
      </c>
      <c r="D13" s="40">
        <v>6</v>
      </c>
      <c r="E13" s="35" t="str">
        <f>VLOOKUP(Table2[[#This Row],[Reg Chuquisaca]],$H$1:$I$35,2,0)</f>
        <v>ROMERO TELLEZ WILMA</v>
      </c>
      <c r="H13" s="34">
        <v>12</v>
      </c>
      <c r="I13" s="35" t="s">
        <v>100</v>
      </c>
    </row>
    <row r="14" spans="1:9" x14ac:dyDescent="0.25">
      <c r="A14" s="35">
        <v>10</v>
      </c>
      <c r="B14" s="35" t="s">
        <v>31</v>
      </c>
      <c r="C14" s="35" t="s">
        <v>34</v>
      </c>
      <c r="D14" s="40">
        <v>7</v>
      </c>
      <c r="E14" s="35" t="str">
        <f>VLOOKUP(Table2[[#This Row],[Reg Chuquisaca]],$H$1:$I$35,2,0)</f>
        <v>AVALOS GONZALES ISIDORA CINDY</v>
      </c>
      <c r="H14" s="32">
        <v>13</v>
      </c>
      <c r="I14" s="33" t="s">
        <v>74</v>
      </c>
    </row>
    <row r="15" spans="1:9" x14ac:dyDescent="0.25">
      <c r="A15" s="35">
        <v>46</v>
      </c>
      <c r="B15" s="35" t="s">
        <v>112</v>
      </c>
      <c r="C15" s="35" t="s">
        <v>55</v>
      </c>
      <c r="D15" s="40">
        <v>7</v>
      </c>
      <c r="E15" s="35" t="str">
        <f>VLOOKUP(Table2[[#This Row],[Reg Chuquisaca]],$H$1:$I$35,2,0)</f>
        <v>AVALOS GONZALES ISIDORA CINDY</v>
      </c>
      <c r="H15" s="34">
        <v>14</v>
      </c>
      <c r="I15" s="35" t="s">
        <v>75</v>
      </c>
    </row>
    <row r="16" spans="1:9" x14ac:dyDescent="0.25">
      <c r="A16" s="33">
        <v>73</v>
      </c>
      <c r="B16" s="33" t="s">
        <v>133</v>
      </c>
      <c r="C16" s="46" t="s">
        <v>42</v>
      </c>
      <c r="D16" s="40">
        <v>8</v>
      </c>
      <c r="E16" s="35" t="str">
        <f>VLOOKUP(Table2[[#This Row],[Reg Chuquisaca]],$H$1:$I$35,2,0)</f>
        <v xml:space="preserve">COLQUE CALANI GERMAN </v>
      </c>
      <c r="H16" s="32">
        <v>15</v>
      </c>
      <c r="I16" s="33" t="s">
        <v>76</v>
      </c>
    </row>
    <row r="17" spans="1:9" x14ac:dyDescent="0.25">
      <c r="A17" s="35">
        <v>22</v>
      </c>
      <c r="B17" s="33" t="s">
        <v>70</v>
      </c>
      <c r="C17" s="33" t="s">
        <v>34</v>
      </c>
      <c r="D17" s="40">
        <v>8</v>
      </c>
      <c r="E17" s="35" t="str">
        <f>VLOOKUP(Table2[[#This Row],[Reg Chuquisaca]],$H$1:$I$35,2,0)</f>
        <v xml:space="preserve">COLQUE CALANI GERMAN </v>
      </c>
      <c r="H17" s="34">
        <v>16</v>
      </c>
      <c r="I17" s="35" t="s">
        <v>79</v>
      </c>
    </row>
    <row r="18" spans="1:9" x14ac:dyDescent="0.25">
      <c r="A18" s="35">
        <v>56</v>
      </c>
      <c r="B18" s="35" t="s">
        <v>39</v>
      </c>
      <c r="C18" s="35" t="s">
        <v>42</v>
      </c>
      <c r="D18" s="40">
        <v>8</v>
      </c>
      <c r="E18" s="35" t="str">
        <f>VLOOKUP(Table2[[#This Row],[Reg Chuquisaca]],$H$1:$I$35,2,0)</f>
        <v xml:space="preserve">COLQUE CALANI GERMAN </v>
      </c>
      <c r="H18" s="32">
        <v>17</v>
      </c>
      <c r="I18" s="33" t="s">
        <v>80</v>
      </c>
    </row>
    <row r="19" spans="1:9" x14ac:dyDescent="0.25">
      <c r="A19" s="33">
        <v>7</v>
      </c>
      <c r="B19" s="33" t="s">
        <v>28</v>
      </c>
      <c r="C19" s="33" t="s">
        <v>34</v>
      </c>
      <c r="D19" s="40">
        <v>9</v>
      </c>
      <c r="E19" s="35" t="str">
        <f>VLOOKUP(Table2[[#This Row],[Reg Chuquisaca]],$H$1:$I$35,2,0)</f>
        <v>MARIA TARACHI</v>
      </c>
      <c r="H19" s="34">
        <v>18</v>
      </c>
      <c r="I19" s="35" t="s">
        <v>81</v>
      </c>
    </row>
    <row r="20" spans="1:9" x14ac:dyDescent="0.25">
      <c r="A20" s="33">
        <v>37</v>
      </c>
      <c r="B20" s="35" t="s">
        <v>120</v>
      </c>
      <c r="C20" s="35" t="s">
        <v>34</v>
      </c>
      <c r="D20" s="40">
        <v>9</v>
      </c>
      <c r="E20" s="35" t="str">
        <f>VLOOKUP(Table2[[#This Row],[Reg Chuquisaca]],$H$1:$I$35,2,0)</f>
        <v>MARIA TARACHI</v>
      </c>
      <c r="H20" s="32">
        <v>19</v>
      </c>
      <c r="I20" s="33" t="s">
        <v>82</v>
      </c>
    </row>
    <row r="21" spans="1:9" x14ac:dyDescent="0.25">
      <c r="A21" s="33">
        <v>71</v>
      </c>
      <c r="B21" s="33" t="s">
        <v>131</v>
      </c>
      <c r="C21" s="33" t="s">
        <v>42</v>
      </c>
      <c r="D21" s="40">
        <v>9</v>
      </c>
      <c r="E21" s="35" t="str">
        <f>VLOOKUP(Table2[[#This Row],[Reg Chuquisaca]],$H$1:$I$35,2,0)</f>
        <v>MARIA TARACHI</v>
      </c>
      <c r="H21" s="34">
        <v>20</v>
      </c>
      <c r="I21" s="35" t="s">
        <v>83</v>
      </c>
    </row>
    <row r="22" spans="1:9" x14ac:dyDescent="0.25">
      <c r="A22" s="33">
        <v>27</v>
      </c>
      <c r="B22" s="35" t="s">
        <v>103</v>
      </c>
      <c r="C22" s="35" t="s">
        <v>34</v>
      </c>
      <c r="D22" s="40">
        <v>10</v>
      </c>
      <c r="E22" s="35" t="str">
        <f>VLOOKUP(Table2[[#This Row],[Reg Chuquisaca]],$H$1:$I$35,2,0)</f>
        <v>TORRICOS PEÑARANDA FAVIOLA PAMELA</v>
      </c>
      <c r="H22" s="32">
        <v>21</v>
      </c>
      <c r="I22" s="33" t="s">
        <v>84</v>
      </c>
    </row>
    <row r="23" spans="1:9" x14ac:dyDescent="0.25">
      <c r="A23" s="35">
        <v>58</v>
      </c>
      <c r="B23" s="35" t="s">
        <v>41</v>
      </c>
      <c r="C23" s="35" t="s">
        <v>42</v>
      </c>
      <c r="D23" s="40">
        <v>10</v>
      </c>
      <c r="E23" s="35" t="str">
        <f>VLOOKUP(Table2[[#This Row],[Reg Chuquisaca]],$H$1:$I$35,2,0)</f>
        <v>TORRICOS PEÑARANDA FAVIOLA PAMELA</v>
      </c>
      <c r="H23" s="34">
        <v>22</v>
      </c>
      <c r="I23" s="35" t="s">
        <v>85</v>
      </c>
    </row>
    <row r="24" spans="1:9" x14ac:dyDescent="0.25">
      <c r="A24" s="33">
        <v>45</v>
      </c>
      <c r="B24" s="33" t="s">
        <v>111</v>
      </c>
      <c r="C24" s="33" t="s">
        <v>55</v>
      </c>
      <c r="D24" s="40">
        <v>11</v>
      </c>
      <c r="E24" s="35" t="str">
        <f>VLOOKUP(Table2[[#This Row],[Reg Chuquisaca]],$H$1:$I$35,2,0)</f>
        <v>ARANIBAR URUÑA VICTORIA</v>
      </c>
      <c r="H24" s="32">
        <v>23</v>
      </c>
      <c r="I24" s="33" t="s">
        <v>86</v>
      </c>
    </row>
    <row r="25" spans="1:9" x14ac:dyDescent="0.25">
      <c r="A25" s="33">
        <v>1</v>
      </c>
      <c r="B25" s="33" t="s">
        <v>22</v>
      </c>
      <c r="C25" s="33" t="s">
        <v>34</v>
      </c>
      <c r="D25" s="40">
        <v>12</v>
      </c>
      <c r="E25" s="35" t="str">
        <f>VLOOKUP(Table2[[#This Row],[Reg Chuquisaca]],$H$1:$I$35,2,0)</f>
        <v>MARISOL FLORES</v>
      </c>
      <c r="H25" s="34">
        <v>24</v>
      </c>
      <c r="I25" s="35" t="s">
        <v>87</v>
      </c>
    </row>
    <row r="26" spans="1:9" x14ac:dyDescent="0.25">
      <c r="A26" s="35">
        <v>52</v>
      </c>
      <c r="B26" s="35" t="s">
        <v>35</v>
      </c>
      <c r="C26" s="35" t="s">
        <v>42</v>
      </c>
      <c r="D26" s="40">
        <v>12</v>
      </c>
      <c r="E26" s="35" t="str">
        <f>VLOOKUP(Table2[[#This Row],[Reg Chuquisaca]],$H$1:$I$35,2,0)</f>
        <v>MARISOL FLORES</v>
      </c>
      <c r="H26" s="32">
        <v>25</v>
      </c>
      <c r="I26" s="33" t="s">
        <v>88</v>
      </c>
    </row>
    <row r="27" spans="1:9" x14ac:dyDescent="0.25">
      <c r="A27" s="33">
        <v>31</v>
      </c>
      <c r="B27" s="35" t="s">
        <v>107</v>
      </c>
      <c r="C27" s="35" t="s">
        <v>34</v>
      </c>
      <c r="D27" s="40">
        <v>13</v>
      </c>
      <c r="E27" s="35" t="str">
        <f>VLOOKUP(Table2[[#This Row],[Reg Chuquisaca]],$H$1:$I$35,2,0)</f>
        <v>LIMON REINA MERY</v>
      </c>
      <c r="H27" s="34">
        <v>26</v>
      </c>
      <c r="I27" s="35" t="s">
        <v>89</v>
      </c>
    </row>
    <row r="28" spans="1:9" x14ac:dyDescent="0.25">
      <c r="A28" s="33">
        <v>63</v>
      </c>
      <c r="B28" s="33" t="s">
        <v>123</v>
      </c>
      <c r="C28" s="33" t="s">
        <v>42</v>
      </c>
      <c r="D28" s="40">
        <v>13</v>
      </c>
      <c r="E28" s="35" t="str">
        <f>VLOOKUP(Table2[[#This Row],[Reg Chuquisaca]],$H$1:$I$35,2,0)</f>
        <v>LIMON REINA MERY</v>
      </c>
      <c r="H28" s="32">
        <v>27</v>
      </c>
      <c r="I28" s="33" t="s">
        <v>90</v>
      </c>
    </row>
    <row r="29" spans="1:9" x14ac:dyDescent="0.25">
      <c r="A29" s="35">
        <v>14</v>
      </c>
      <c r="B29" s="33" t="s">
        <v>47</v>
      </c>
      <c r="C29" s="33" t="s">
        <v>34</v>
      </c>
      <c r="D29" s="40">
        <v>14</v>
      </c>
      <c r="E29" s="35" t="str">
        <f>VLOOKUP(Table2[[#This Row],[Reg Chuquisaca]],$H$1:$I$35,2,0)</f>
        <v>LLANOS MENDOZA LITZY JHULINETH</v>
      </c>
      <c r="H29" s="34">
        <v>28</v>
      </c>
      <c r="I29" s="35" t="s">
        <v>91</v>
      </c>
    </row>
    <row r="30" spans="1:9" x14ac:dyDescent="0.25">
      <c r="A30" s="33">
        <v>41</v>
      </c>
      <c r="B30" s="33" t="s">
        <v>53</v>
      </c>
      <c r="C30" s="33" t="s">
        <v>55</v>
      </c>
      <c r="D30" s="40">
        <v>14</v>
      </c>
      <c r="E30" s="35" t="str">
        <f>VLOOKUP(Table2[[#This Row],[Reg Chuquisaca]],$H$1:$I$35,2,0)</f>
        <v>LLANOS MENDOZA LITZY JHULINETH</v>
      </c>
      <c r="H30" s="32">
        <v>29</v>
      </c>
      <c r="I30" s="33" t="s">
        <v>92</v>
      </c>
    </row>
    <row r="31" spans="1:9" x14ac:dyDescent="0.25">
      <c r="A31" s="33">
        <v>75</v>
      </c>
      <c r="B31" s="33" t="s">
        <v>77</v>
      </c>
      <c r="C31" s="33" t="s">
        <v>42</v>
      </c>
      <c r="D31" s="40">
        <v>14</v>
      </c>
      <c r="E31" s="35" t="str">
        <f>VLOOKUP(Table2[[#This Row],[Reg Chuquisaca]],$H$1:$I$35,2,0)</f>
        <v>LLANOS MENDOZA LITZY JHULINETH</v>
      </c>
      <c r="H31" s="34">
        <v>30</v>
      </c>
      <c r="I31" s="35" t="s">
        <v>93</v>
      </c>
    </row>
    <row r="32" spans="1:9" x14ac:dyDescent="0.25">
      <c r="A32" s="35">
        <v>60</v>
      </c>
      <c r="B32" s="33" t="s">
        <v>64</v>
      </c>
      <c r="C32" s="46" t="s">
        <v>42</v>
      </c>
      <c r="D32" s="40">
        <v>15</v>
      </c>
      <c r="E32" s="35" t="str">
        <f>VLOOKUP(Table2[[#This Row],[Reg Chuquisaca]],$H$1:$I$35,2,0)</f>
        <v>VILLANUEVA ALACA ESTHER</v>
      </c>
      <c r="H32" s="32">
        <v>31</v>
      </c>
      <c r="I32" s="33" t="s">
        <v>94</v>
      </c>
    </row>
    <row r="33" spans="1:9" x14ac:dyDescent="0.25">
      <c r="A33" s="35">
        <v>24</v>
      </c>
      <c r="B33" s="33" t="s">
        <v>72</v>
      </c>
      <c r="C33" s="33" t="s">
        <v>34</v>
      </c>
      <c r="D33" s="40">
        <v>15</v>
      </c>
      <c r="E33" s="35" t="str">
        <f>VLOOKUP(Table2[[#This Row],[Reg Chuquisaca]],$H$1:$I$35,2,0)</f>
        <v>VILLANUEVA ALACA ESTHER</v>
      </c>
      <c r="H33" s="34">
        <v>32</v>
      </c>
      <c r="I33" s="35" t="s">
        <v>95</v>
      </c>
    </row>
    <row r="34" spans="1:9" x14ac:dyDescent="0.25">
      <c r="A34" s="33">
        <v>65</v>
      </c>
      <c r="B34" s="33" t="s">
        <v>125</v>
      </c>
      <c r="C34" s="33" t="s">
        <v>42</v>
      </c>
      <c r="D34" s="40">
        <v>15</v>
      </c>
      <c r="E34" s="35" t="str">
        <f>VLOOKUP(Table2[[#This Row],[Reg Chuquisaca]],$H$1:$I$35,2,0)</f>
        <v>VILLANUEVA ALACA ESTHER</v>
      </c>
      <c r="H34" s="32">
        <v>33</v>
      </c>
      <c r="I34" s="33" t="s">
        <v>96</v>
      </c>
    </row>
    <row r="35" spans="1:9" x14ac:dyDescent="0.25">
      <c r="A35" s="33">
        <v>9</v>
      </c>
      <c r="B35" s="33" t="s">
        <v>30</v>
      </c>
      <c r="C35" s="33" t="s">
        <v>34</v>
      </c>
      <c r="D35" s="40">
        <v>16</v>
      </c>
      <c r="E35" s="35" t="str">
        <f>VLOOKUP(Table2[[#This Row],[Reg Chuquisaca]],$H$1:$I$35,2,0)</f>
        <v>RODRIGUEZ TRUJILLO JUAN CARLOS</v>
      </c>
      <c r="H35" s="34">
        <v>34</v>
      </c>
      <c r="I35" s="35" t="s">
        <v>97</v>
      </c>
    </row>
    <row r="36" spans="1:9" x14ac:dyDescent="0.25">
      <c r="A36" s="35">
        <v>48</v>
      </c>
      <c r="B36" s="35" t="s">
        <v>114</v>
      </c>
      <c r="C36" s="35" t="s">
        <v>55</v>
      </c>
      <c r="D36" s="40">
        <v>16</v>
      </c>
      <c r="E36" s="35" t="str">
        <f>VLOOKUP(Table2[[#This Row],[Reg Chuquisaca]],$H$1:$I$35,2,0)</f>
        <v>RODRIGUEZ TRUJILLO JUAN CARLOS</v>
      </c>
    </row>
    <row r="37" spans="1:9" x14ac:dyDescent="0.25">
      <c r="A37" s="35">
        <v>18</v>
      </c>
      <c r="B37" s="33" t="s">
        <v>61</v>
      </c>
      <c r="C37" s="46" t="s">
        <v>34</v>
      </c>
      <c r="D37" s="40">
        <v>16</v>
      </c>
      <c r="E37" s="35" t="str">
        <f>VLOOKUP(Table2[[#This Row],[Reg Chuquisaca]],$H$1:$I$35,2,0)</f>
        <v>RODRIGUEZ TRUJILLO JUAN CARLOS</v>
      </c>
    </row>
    <row r="38" spans="1:9" x14ac:dyDescent="0.25">
      <c r="A38" s="33">
        <v>29</v>
      </c>
      <c r="B38" s="35" t="s">
        <v>105</v>
      </c>
      <c r="C38" s="35" t="s">
        <v>34</v>
      </c>
      <c r="D38" s="40">
        <v>17</v>
      </c>
      <c r="E38" s="35" t="str">
        <f>VLOOKUP(Table2[[#This Row],[Reg Chuquisaca]],$H$1:$I$35,2,0)</f>
        <v>SAYGUA SOLIS ALFREDO</v>
      </c>
    </row>
    <row r="39" spans="1:9" x14ac:dyDescent="0.25">
      <c r="A39" s="33">
        <v>67</v>
      </c>
      <c r="B39" s="33" t="s">
        <v>127</v>
      </c>
      <c r="C39" s="33" t="s">
        <v>42</v>
      </c>
      <c r="D39" s="40">
        <v>17</v>
      </c>
      <c r="E39" s="35" t="str">
        <f>VLOOKUP(Table2[[#This Row],[Reg Chuquisaca]],$H$1:$I$35,2,0)</f>
        <v>SAYGUA SOLIS ALFREDO</v>
      </c>
    </row>
    <row r="40" spans="1:9" x14ac:dyDescent="0.25">
      <c r="A40" s="35">
        <v>4</v>
      </c>
      <c r="B40" s="35" t="s">
        <v>25</v>
      </c>
      <c r="C40" s="35" t="s">
        <v>34</v>
      </c>
      <c r="D40" s="40">
        <v>18</v>
      </c>
      <c r="E40" s="35" t="str">
        <f>VLOOKUP(Table2[[#This Row],[Reg Chuquisaca]],$H$1:$I$35,2,0)</f>
        <v>VICENTE LOPEZ PEDRO</v>
      </c>
    </row>
    <row r="41" spans="1:9" x14ac:dyDescent="0.25">
      <c r="A41" s="35">
        <v>36</v>
      </c>
      <c r="B41" s="33" t="s">
        <v>119</v>
      </c>
      <c r="C41" s="33" t="s">
        <v>34</v>
      </c>
      <c r="D41" s="40">
        <v>18</v>
      </c>
      <c r="E41" s="35" t="str">
        <f>VLOOKUP(Table2[[#This Row],[Reg Chuquisaca]],$H$1:$I$35,2,0)</f>
        <v>VICENTE LOPEZ PEDRO</v>
      </c>
    </row>
    <row r="42" spans="1:9" x14ac:dyDescent="0.25">
      <c r="A42" s="35">
        <v>70</v>
      </c>
      <c r="B42" s="35" t="s">
        <v>130</v>
      </c>
      <c r="C42" s="35" t="s">
        <v>42</v>
      </c>
      <c r="D42" s="40">
        <v>18</v>
      </c>
      <c r="E42" s="35" t="str">
        <f>VLOOKUP(Table2[[#This Row],[Reg Chuquisaca]],$H$1:$I$35,2,0)</f>
        <v>VICENTE LOPEZ PEDRO</v>
      </c>
    </row>
    <row r="43" spans="1:9" x14ac:dyDescent="0.25">
      <c r="A43" s="35">
        <v>20</v>
      </c>
      <c r="B43" s="33" t="s">
        <v>68</v>
      </c>
      <c r="C43" s="33" t="s">
        <v>34</v>
      </c>
      <c r="D43" s="40">
        <v>19</v>
      </c>
      <c r="E43" s="35" t="str">
        <f>VLOOKUP(Table2[[#This Row],[Reg Chuquisaca]],$H$1:$I$35,2,0)</f>
        <v>COA DIAZ JOSE CLEMENTE</v>
      </c>
    </row>
    <row r="44" spans="1:9" x14ac:dyDescent="0.25">
      <c r="A44" s="35">
        <v>54</v>
      </c>
      <c r="B44" s="35" t="s">
        <v>37</v>
      </c>
      <c r="C44" s="35" t="s">
        <v>42</v>
      </c>
      <c r="D44" s="40">
        <v>19</v>
      </c>
      <c r="E44" s="35" t="str">
        <f>VLOOKUP(Table2[[#This Row],[Reg Chuquisaca]],$H$1:$I$35,2,0)</f>
        <v>COA DIAZ JOSE CLEMENTE</v>
      </c>
    </row>
    <row r="45" spans="1:9" x14ac:dyDescent="0.25">
      <c r="A45" s="35">
        <v>26</v>
      </c>
      <c r="B45" s="33" t="s">
        <v>102</v>
      </c>
      <c r="C45" s="33" t="s">
        <v>34</v>
      </c>
      <c r="D45" s="40">
        <v>20</v>
      </c>
      <c r="E45" s="35" t="str">
        <f>VLOOKUP(Table2[[#This Row],[Reg Chuquisaca]],$H$1:$I$35,2,0)</f>
        <v>HUARACHI TORIHUANO GERMAN</v>
      </c>
    </row>
    <row r="46" spans="1:9" x14ac:dyDescent="0.25">
      <c r="A46" s="33">
        <v>61</v>
      </c>
      <c r="B46" s="33" t="s">
        <v>121</v>
      </c>
      <c r="C46" s="33" t="s">
        <v>42</v>
      </c>
      <c r="D46" s="40">
        <v>20</v>
      </c>
      <c r="E46" s="35" t="str">
        <f>VLOOKUP(Table2[[#This Row],[Reg Chuquisaca]],$H$1:$I$35,2,0)</f>
        <v>HUARACHI TORIHUANO GERMAN</v>
      </c>
    </row>
    <row r="47" spans="1:9" x14ac:dyDescent="0.25">
      <c r="A47" s="35">
        <v>6</v>
      </c>
      <c r="B47" s="35" t="s">
        <v>27</v>
      </c>
      <c r="C47" s="35" t="s">
        <v>34</v>
      </c>
      <c r="D47" s="40">
        <v>21</v>
      </c>
      <c r="E47" s="35" t="str">
        <f>VLOOKUP(Table2[[#This Row],[Reg Chuquisaca]],$H$1:$I$35,2,0)</f>
        <v>POTOSI FLORES ROLANDO</v>
      </c>
    </row>
    <row r="48" spans="1:9" x14ac:dyDescent="0.25">
      <c r="A48" s="35">
        <v>40</v>
      </c>
      <c r="B48" s="35" t="s">
        <v>52</v>
      </c>
      <c r="C48" s="35" t="s">
        <v>55</v>
      </c>
      <c r="D48" s="40">
        <v>21</v>
      </c>
      <c r="E48" s="35" t="str">
        <f>VLOOKUP(Table2[[#This Row],[Reg Chuquisaca]],$H$1:$I$35,2,0)</f>
        <v>POTOSI FLORES ROLANDO</v>
      </c>
    </row>
    <row r="49" spans="1:5" x14ac:dyDescent="0.25">
      <c r="A49" s="35">
        <v>74</v>
      </c>
      <c r="B49" s="35" t="s">
        <v>134</v>
      </c>
      <c r="C49" s="35" t="s">
        <v>42</v>
      </c>
      <c r="D49" s="40">
        <v>21</v>
      </c>
      <c r="E49" s="35" t="str">
        <f>VLOOKUP(Table2[[#This Row],[Reg Chuquisaca]],$H$1:$I$35,2,0)</f>
        <v>POTOSI FLORES ROLANDO</v>
      </c>
    </row>
    <row r="50" spans="1:5" x14ac:dyDescent="0.25">
      <c r="A50" s="33">
        <v>15</v>
      </c>
      <c r="B50" s="35" t="s">
        <v>48</v>
      </c>
      <c r="C50" s="35" t="s">
        <v>34</v>
      </c>
      <c r="D50" s="40">
        <v>22</v>
      </c>
      <c r="E50" s="35" t="str">
        <f>VLOOKUP(Table2[[#This Row],[Reg Chuquisaca]],$H$1:$I$35,2,0)</f>
        <v>MUÑOZ VARGAS JOSE CARLOS</v>
      </c>
    </row>
    <row r="51" spans="1:5" x14ac:dyDescent="0.25">
      <c r="A51" s="35">
        <v>50</v>
      </c>
      <c r="B51" s="35" t="s">
        <v>116</v>
      </c>
      <c r="C51" s="35" t="s">
        <v>55</v>
      </c>
      <c r="D51" s="40">
        <v>22</v>
      </c>
      <c r="E51" s="35" t="str">
        <f>VLOOKUP(Table2[[#This Row],[Reg Chuquisaca]],$H$1:$I$35,2,0)</f>
        <v>MUÑOZ VARGAS JOSE CARLOS</v>
      </c>
    </row>
    <row r="52" spans="1:5" x14ac:dyDescent="0.25">
      <c r="A52" s="33">
        <v>33</v>
      </c>
      <c r="B52" s="35" t="s">
        <v>135</v>
      </c>
      <c r="C52" s="35" t="s">
        <v>34</v>
      </c>
      <c r="D52" s="40">
        <v>23</v>
      </c>
      <c r="E52" s="35" t="str">
        <f>VLOOKUP(Table2[[#This Row],[Reg Chuquisaca]],$H$1:$I$35,2,0)</f>
        <v>QUIÑONES CHACA CARLOS CAMILO</v>
      </c>
    </row>
    <row r="53" spans="1:5" x14ac:dyDescent="0.25">
      <c r="A53" s="35">
        <v>68</v>
      </c>
      <c r="B53" s="35" t="s">
        <v>128</v>
      </c>
      <c r="C53" s="35" t="s">
        <v>42</v>
      </c>
      <c r="D53" s="40">
        <v>23</v>
      </c>
      <c r="E53" s="35" t="str">
        <f>VLOOKUP(Table2[[#This Row],[Reg Chuquisaca]],$H$1:$I$35,2,0)</f>
        <v>QUIÑONES CHACA CARLOS CAMILO</v>
      </c>
    </row>
    <row r="54" spans="1:5" x14ac:dyDescent="0.25">
      <c r="A54" s="33">
        <v>11</v>
      </c>
      <c r="B54" s="33" t="s">
        <v>32</v>
      </c>
      <c r="C54" s="33" t="s">
        <v>34</v>
      </c>
      <c r="D54" s="40">
        <v>24</v>
      </c>
      <c r="E54" s="35" t="str">
        <f>VLOOKUP(Table2[[#This Row],[Reg Chuquisaca]],$H$1:$I$35,2,0)</f>
        <v>TORO CALDERON JOSE DAVID</v>
      </c>
    </row>
    <row r="55" spans="1:5" x14ac:dyDescent="0.25">
      <c r="A55" s="35">
        <v>44</v>
      </c>
      <c r="B55" s="35" t="s">
        <v>110</v>
      </c>
      <c r="C55" s="35" t="s">
        <v>55</v>
      </c>
      <c r="D55" s="40">
        <v>24</v>
      </c>
      <c r="E55" s="35" t="str">
        <f>VLOOKUP(Table2[[#This Row],[Reg Chuquisaca]],$H$1:$I$35,2,0)</f>
        <v>TORO CALDERON JOSE DAVID</v>
      </c>
    </row>
    <row r="56" spans="1:5" x14ac:dyDescent="0.25">
      <c r="A56" s="35">
        <v>30</v>
      </c>
      <c r="B56" s="33" t="s">
        <v>106</v>
      </c>
      <c r="C56" s="33" t="s">
        <v>34</v>
      </c>
      <c r="D56" s="40">
        <v>25</v>
      </c>
      <c r="E56" s="35" t="str">
        <f>VLOOKUP(Table2[[#This Row],[Reg Chuquisaca]],$H$1:$I$35,2,0)</f>
        <v>QUISPE APOLINAR</v>
      </c>
    </row>
    <row r="57" spans="1:5" x14ac:dyDescent="0.25">
      <c r="A57" s="33">
        <v>57</v>
      </c>
      <c r="B57" s="33" t="s">
        <v>40</v>
      </c>
      <c r="C57" s="33" t="s">
        <v>42</v>
      </c>
      <c r="D57" s="40">
        <v>25</v>
      </c>
      <c r="E57" s="35" t="str">
        <f>VLOOKUP(Table2[[#This Row],[Reg Chuquisaca]],$H$1:$I$35,2,0)</f>
        <v>QUISPE APOLINAR</v>
      </c>
    </row>
    <row r="58" spans="1:5" x14ac:dyDescent="0.25">
      <c r="A58" s="33">
        <v>23</v>
      </c>
      <c r="B58" s="35" t="s">
        <v>71</v>
      </c>
      <c r="C58" s="35" t="s">
        <v>34</v>
      </c>
      <c r="D58" s="40">
        <v>26</v>
      </c>
      <c r="E58" s="35" t="str">
        <f>VLOOKUP(Table2[[#This Row],[Reg Chuquisaca]],$H$1:$I$35,2,0)</f>
        <v>SANCHEZ CHOQUE MARCO ANTONIO</v>
      </c>
    </row>
    <row r="59" spans="1:5" x14ac:dyDescent="0.25">
      <c r="A59" s="35">
        <v>64</v>
      </c>
      <c r="B59" s="35" t="s">
        <v>124</v>
      </c>
      <c r="C59" s="35" t="s">
        <v>42</v>
      </c>
      <c r="D59" s="40">
        <v>26</v>
      </c>
      <c r="E59" s="35" t="str">
        <f>VLOOKUP(Table2[[#This Row],[Reg Chuquisaca]],$H$1:$I$35,2,0)</f>
        <v>SANCHEZ CHOQUE MARCO ANTONIO</v>
      </c>
    </row>
    <row r="60" spans="1:5" x14ac:dyDescent="0.25">
      <c r="A60" s="33">
        <v>51</v>
      </c>
      <c r="B60" s="33" t="s">
        <v>59</v>
      </c>
      <c r="C60" s="46" t="s">
        <v>65</v>
      </c>
      <c r="D60" s="40">
        <v>26</v>
      </c>
      <c r="E60" s="35" t="str">
        <f>VLOOKUP(Table2[[#This Row],[Reg Chuquisaca]],$H$1:$I$35,2,0)</f>
        <v>SANCHEZ CHOQUE MARCO ANTONIO</v>
      </c>
    </row>
    <row r="61" spans="1:5" x14ac:dyDescent="0.25">
      <c r="A61" s="33">
        <v>3</v>
      </c>
      <c r="B61" s="33" t="s">
        <v>24</v>
      </c>
      <c r="C61" s="33" t="s">
        <v>34</v>
      </c>
      <c r="D61" s="40">
        <v>27</v>
      </c>
      <c r="E61" s="35" t="str">
        <f>VLOOKUP(Table2[[#This Row],[Reg Chuquisaca]],$H$1:$I$35,2,0)</f>
        <v>TANGO MENDOZA JOSE LUIS</v>
      </c>
    </row>
    <row r="62" spans="1:5" x14ac:dyDescent="0.25">
      <c r="A62" s="35">
        <v>38</v>
      </c>
      <c r="B62" s="35" t="s">
        <v>50</v>
      </c>
      <c r="C62" s="35" t="s">
        <v>55</v>
      </c>
      <c r="D62" s="40">
        <v>27</v>
      </c>
      <c r="E62" s="35" t="str">
        <f>VLOOKUP(Table2[[#This Row],[Reg Chuquisaca]],$H$1:$I$35,2,0)</f>
        <v>TANGO MENDOZA JOSE LUIS</v>
      </c>
    </row>
    <row r="63" spans="1:5" x14ac:dyDescent="0.25">
      <c r="A63" s="35">
        <v>72</v>
      </c>
      <c r="B63" s="35" t="s">
        <v>132</v>
      </c>
      <c r="C63" s="35" t="s">
        <v>42</v>
      </c>
      <c r="D63" s="40">
        <v>27</v>
      </c>
      <c r="E63" s="35" t="str">
        <f>VLOOKUP(Table2[[#This Row],[Reg Chuquisaca]],$H$1:$I$35,2,0)</f>
        <v>TANGO MENDOZA JOSE LUIS</v>
      </c>
    </row>
    <row r="64" spans="1:5" x14ac:dyDescent="0.25">
      <c r="A64" s="35">
        <v>32</v>
      </c>
      <c r="B64" s="33" t="s">
        <v>108</v>
      </c>
      <c r="C64" s="33" t="s">
        <v>34</v>
      </c>
      <c r="D64" s="40">
        <v>29</v>
      </c>
      <c r="E64" s="35" t="str">
        <f>VLOOKUP(Table2[[#This Row],[Reg Chuquisaca]],$H$1:$I$35,2,0)</f>
        <v>SERRANO MACEDONIO ISMAEL DEREK</v>
      </c>
    </row>
    <row r="65" spans="1:5" x14ac:dyDescent="0.25">
      <c r="A65" s="35">
        <v>62</v>
      </c>
      <c r="B65" s="35" t="s">
        <v>122</v>
      </c>
      <c r="C65" s="35" t="s">
        <v>42</v>
      </c>
      <c r="D65" s="40">
        <v>29</v>
      </c>
      <c r="E65" s="35" t="str">
        <f>VLOOKUP(Table2[[#This Row],[Reg Chuquisaca]],$H$1:$I$35,2,0)</f>
        <v>SERRANO MACEDONIO ISMAEL DEREK</v>
      </c>
    </row>
    <row r="66" spans="1:5" x14ac:dyDescent="0.25">
      <c r="A66" s="33">
        <v>13</v>
      </c>
      <c r="B66" s="35" t="s">
        <v>46</v>
      </c>
      <c r="C66" s="35" t="s">
        <v>34</v>
      </c>
      <c r="D66" s="40">
        <v>30</v>
      </c>
      <c r="E66" s="35" t="str">
        <f>VLOOKUP(Table2[[#This Row],[Reg Chuquisaca]],$H$1:$I$35,2,0)</f>
        <v>TORREZ FLORES ARMANDO</v>
      </c>
    </row>
    <row r="67" spans="1:5" x14ac:dyDescent="0.25">
      <c r="A67" s="35">
        <v>42</v>
      </c>
      <c r="B67" s="35" t="s">
        <v>54</v>
      </c>
      <c r="C67" s="35" t="s">
        <v>55</v>
      </c>
      <c r="D67" s="40">
        <v>30</v>
      </c>
      <c r="E67" s="35" t="str">
        <f>VLOOKUP(Table2[[#This Row],[Reg Chuquisaca]],$H$1:$I$35,2,0)</f>
        <v>TORREZ FLORES ARMANDO</v>
      </c>
    </row>
    <row r="68" spans="1:5" x14ac:dyDescent="0.25">
      <c r="A68" s="35">
        <v>76</v>
      </c>
      <c r="B68" s="35" t="s">
        <v>78</v>
      </c>
      <c r="C68" s="35" t="s">
        <v>42</v>
      </c>
      <c r="D68" s="40">
        <v>30</v>
      </c>
      <c r="E68" s="35" t="str">
        <f>VLOOKUP(Table2[[#This Row],[Reg Chuquisaca]],$H$1:$I$35,2,0)</f>
        <v>TORREZ FLORES ARMANDO</v>
      </c>
    </row>
    <row r="69" spans="1:5" x14ac:dyDescent="0.25">
      <c r="A69" s="35">
        <v>28</v>
      </c>
      <c r="B69" s="33" t="s">
        <v>104</v>
      </c>
      <c r="C69" s="33" t="s">
        <v>34</v>
      </c>
      <c r="D69" s="40">
        <v>31</v>
      </c>
      <c r="E69" s="35" t="str">
        <f>VLOOKUP(Table2[[#This Row],[Reg Chuquisaca]],$H$1:$I$35,2,0)</f>
        <v>DIAZ ESPINOZA ALEJANDRO</v>
      </c>
    </row>
    <row r="70" spans="1:5" x14ac:dyDescent="0.25">
      <c r="A70" s="33">
        <v>59</v>
      </c>
      <c r="B70" s="35" t="s">
        <v>62</v>
      </c>
      <c r="C70" s="35" t="s">
        <v>42</v>
      </c>
      <c r="D70" s="40">
        <v>31</v>
      </c>
      <c r="E70" s="35" t="str">
        <f>VLOOKUP(Table2[[#This Row],[Reg Chuquisaca]],$H$1:$I$35,2,0)</f>
        <v>DIAZ ESPINOZA ALEJANDRO</v>
      </c>
    </row>
    <row r="71" spans="1:5" x14ac:dyDescent="0.25">
      <c r="A71" s="33">
        <v>17</v>
      </c>
      <c r="B71" s="35" t="s">
        <v>60</v>
      </c>
      <c r="C71" s="47" t="s">
        <v>34</v>
      </c>
      <c r="D71" s="40">
        <v>32</v>
      </c>
      <c r="E71" s="35" t="str">
        <f>VLOOKUP(Table2[[#This Row],[Reg Chuquisaca]],$H$1:$I$35,2,0)</f>
        <v>HERRERA MARTINEZ FRANKLIN OMAR</v>
      </c>
    </row>
    <row r="72" spans="1:5" x14ac:dyDescent="0.25">
      <c r="A72" s="35">
        <v>34</v>
      </c>
      <c r="B72" s="33" t="s">
        <v>117</v>
      </c>
      <c r="C72" s="33" t="s">
        <v>34</v>
      </c>
      <c r="D72" s="40">
        <v>32</v>
      </c>
      <c r="E72" s="35" t="str">
        <f>VLOOKUP(Table2[[#This Row],[Reg Chuquisaca]],$H$1:$I$35,2,0)</f>
        <v>HERRERA MARTINEZ FRANKLIN OMAR</v>
      </c>
    </row>
    <row r="73" spans="1:5" x14ac:dyDescent="0.25">
      <c r="A73" s="35">
        <v>66</v>
      </c>
      <c r="B73" s="35" t="s">
        <v>126</v>
      </c>
      <c r="C73" s="35" t="s">
        <v>42</v>
      </c>
      <c r="D73" s="40">
        <v>32</v>
      </c>
      <c r="E73" s="35" t="str">
        <f>VLOOKUP(Table2[[#This Row],[Reg Chuquisaca]],$H$1:$I$35,2,0)</f>
        <v>HERRERA MARTINEZ FRANKLIN OMAR</v>
      </c>
    </row>
    <row r="74" spans="1:5" x14ac:dyDescent="0.25">
      <c r="A74" s="33">
        <v>21</v>
      </c>
      <c r="B74" s="35" t="s">
        <v>69</v>
      </c>
      <c r="C74" s="35" t="s">
        <v>34</v>
      </c>
      <c r="D74" s="40">
        <v>33</v>
      </c>
      <c r="E74" s="35" t="str">
        <f>VLOOKUP(Table2[[#This Row],[Reg Chuquisaca]],$H$1:$I$35,2,0)</f>
        <v>CRUZ FLORES EBER RODOLFO</v>
      </c>
    </row>
    <row r="75" spans="1:5" x14ac:dyDescent="0.25">
      <c r="A75" s="33">
        <v>55</v>
      </c>
      <c r="B75" s="33" t="s">
        <v>38</v>
      </c>
      <c r="C75" s="33" t="s">
        <v>42</v>
      </c>
      <c r="D75" s="40">
        <v>33</v>
      </c>
      <c r="E75" s="35" t="str">
        <f>VLOOKUP(Table2[[#This Row],[Reg Chuquisaca]],$H$1:$I$35,2,0)</f>
        <v>CRUZ FLORES EBER RODOLFO</v>
      </c>
    </row>
    <row r="76" spans="1:5" x14ac:dyDescent="0.25">
      <c r="A76" s="35">
        <v>8</v>
      </c>
      <c r="B76" s="35" t="s">
        <v>29</v>
      </c>
      <c r="C76" s="35" t="s">
        <v>34</v>
      </c>
      <c r="D76" s="40">
        <v>34</v>
      </c>
      <c r="E76" s="35" t="str">
        <f>VLOOKUP(Table2[[#This Row],[Reg Chuquisaca]],$H$1:$I$35,2,0)</f>
        <v>LOPEZ ESTRADA EDGAR</v>
      </c>
    </row>
    <row r="77" spans="1:5" x14ac:dyDescent="0.25">
      <c r="A77" s="33">
        <v>47</v>
      </c>
      <c r="B77" s="45" t="s">
        <v>113</v>
      </c>
      <c r="C77" s="45" t="s">
        <v>55</v>
      </c>
      <c r="D77" s="42">
        <v>34</v>
      </c>
      <c r="E77" s="39" t="str">
        <f>VLOOKUP(Table2[[#This Row],[Reg Chuquisaca]],$H$1:$I$35,2,0)</f>
        <v>LOPEZ ESTRADA EDGAR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Sanchez</dc:creator>
  <cp:lastModifiedBy>Marco Antonio Sanchez</cp:lastModifiedBy>
  <dcterms:created xsi:type="dcterms:W3CDTF">2026-01-30T18:34:05Z</dcterms:created>
  <dcterms:modified xsi:type="dcterms:W3CDTF">2026-01-31T15:38:58Z</dcterms:modified>
</cp:coreProperties>
</file>